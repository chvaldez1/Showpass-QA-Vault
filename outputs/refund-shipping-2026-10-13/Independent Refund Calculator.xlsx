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christianvaldez/Documents/Showpass/repos/Showpass QA Vault/outputs/refund-shipping-2026-10-13/"/>
    </mc:Choice>
  </mc:AlternateContent>
  <xr:revisionPtr revIDLastSave="0" documentId="13_ncr:1_{737CB271-FEA1-4349-9815-7C931927F94B}" xr6:coauthVersionLast="47" xr6:coauthVersionMax="47" xr10:uidLastSave="{00000000-0000-0000-0000-000000000000}"/>
  <bookViews>
    <workbookView xWindow="7460" yWindow="4180" windowWidth="40580" windowHeight="21060" xr2:uid="{00000000-000D-0000-FFFF-FFFF00000000}"/>
  </bookViews>
  <sheets>
    <sheet name="Calculator" sheetId="1" r:id="rId1"/>
    <sheet name="Ma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C24" i="2"/>
  <c r="C23" i="2"/>
  <c r="C22" i="2"/>
  <c r="C19" i="2"/>
  <c r="C18" i="2"/>
  <c r="C17" i="2"/>
  <c r="C13" i="2"/>
  <c r="N8" i="2"/>
  <c r="F8" i="2"/>
  <c r="C8" i="2"/>
  <c r="B8" i="2"/>
  <c r="N7" i="2"/>
  <c r="F7" i="2"/>
  <c r="C7" i="2"/>
  <c r="B7" i="2"/>
  <c r="N6" i="2"/>
  <c r="F6" i="2"/>
  <c r="G6" i="2" s="1"/>
  <c r="C6" i="2"/>
  <c r="B6" i="2"/>
  <c r="A11" i="1"/>
  <c r="P6" i="2" l="1"/>
  <c r="O6" i="2"/>
  <c r="O8" i="2"/>
  <c r="G8" i="2"/>
  <c r="P8" i="2" s="1"/>
  <c r="E8" i="2"/>
  <c r="C26" i="2"/>
  <c r="C25" i="2"/>
  <c r="M24" i="2"/>
  <c r="M23" i="2"/>
  <c r="M26" i="2"/>
  <c r="D23" i="2"/>
  <c r="D27" i="2"/>
  <c r="M27" i="2"/>
  <c r="D8" i="2"/>
  <c r="E27" i="2"/>
  <c r="O7" i="2"/>
  <c r="G7" i="2"/>
  <c r="P7" i="2" s="1"/>
  <c r="D18" i="2"/>
  <c r="C20" i="2"/>
  <c r="M19" i="2"/>
  <c r="C21" i="2"/>
  <c r="M21" i="2" s="1"/>
  <c r="M18" i="2"/>
  <c r="E7" i="2"/>
  <c r="M22" i="2"/>
  <c r="D7" i="2"/>
  <c r="M13" i="2"/>
  <c r="C14" i="2"/>
  <c r="M14" i="2" s="1"/>
  <c r="C15" i="2"/>
  <c r="M15" i="2" s="1"/>
  <c r="C16" i="2"/>
  <c r="M17" i="2"/>
  <c r="M16" i="2"/>
  <c r="E6" i="2"/>
  <c r="H6" i="2"/>
  <c r="D6" i="2"/>
  <c r="P15" i="2" l="1"/>
  <c r="P13" i="2"/>
  <c r="P14" i="2"/>
  <c r="P16" i="2"/>
  <c r="P17" i="2"/>
  <c r="H14" i="2"/>
  <c r="H15" i="2"/>
  <c r="H16" i="2"/>
  <c r="H13" i="2"/>
  <c r="H17" i="2"/>
  <c r="D20" i="2"/>
  <c r="M20" i="2"/>
  <c r="D26" i="2"/>
  <c r="D24" i="2"/>
  <c r="M25" i="2"/>
  <c r="D25" i="2"/>
  <c r="I25" i="2" s="1"/>
  <c r="E25" i="2"/>
  <c r="E24" i="2"/>
  <c r="E26" i="2"/>
  <c r="I26" i="2" s="1"/>
  <c r="H23" i="2"/>
  <c r="H25" i="2"/>
  <c r="H24" i="2"/>
  <c r="H26" i="2"/>
  <c r="B52" i="1" s="1"/>
  <c r="H27" i="2"/>
  <c r="P27" i="2"/>
  <c r="P25" i="2"/>
  <c r="P26" i="2"/>
  <c r="P23" i="2"/>
  <c r="P24" i="2"/>
  <c r="N27" i="2"/>
  <c r="N25" i="2"/>
  <c r="N26" i="2"/>
  <c r="N23" i="2"/>
  <c r="H19" i="2"/>
  <c r="H20" i="2"/>
  <c r="H22" i="2"/>
  <c r="H18" i="2"/>
  <c r="H21" i="2"/>
  <c r="P19" i="2"/>
  <c r="P22" i="2"/>
  <c r="P18" i="2"/>
  <c r="P20" i="2"/>
  <c r="P21" i="2"/>
  <c r="N18" i="2"/>
  <c r="N20" i="2"/>
  <c r="N17" i="2"/>
  <c r="I6" i="2"/>
  <c r="I27" i="2"/>
  <c r="H8" i="2"/>
  <c r="E23" i="2"/>
  <c r="I23" i="2" s="1"/>
  <c r="D22" i="2"/>
  <c r="D19" i="2"/>
  <c r="D21" i="2"/>
  <c r="H7" i="2"/>
  <c r="E21" i="2"/>
  <c r="E19" i="2"/>
  <c r="E18" i="2"/>
  <c r="I18" i="2" s="1"/>
  <c r="E20" i="2"/>
  <c r="I20" i="2" s="1"/>
  <c r="E22" i="2"/>
  <c r="D15" i="2"/>
  <c r="N15" i="2" s="1"/>
  <c r="D17" i="2"/>
  <c r="D16" i="2"/>
  <c r="D13" i="2"/>
  <c r="D14" i="2"/>
  <c r="E15" i="2"/>
  <c r="E13" i="2"/>
  <c r="E17" i="2"/>
  <c r="E16" i="2"/>
  <c r="E14" i="2"/>
  <c r="C27" i="1" l="1"/>
  <c r="D27" i="1"/>
  <c r="B27" i="1"/>
  <c r="E27" i="1"/>
  <c r="N24" i="2"/>
  <c r="I24" i="2"/>
  <c r="B50" i="1" s="1"/>
  <c r="I17" i="2"/>
  <c r="B23" i="1" s="1"/>
  <c r="D57" i="1"/>
  <c r="E57" i="1"/>
  <c r="C57" i="1"/>
  <c r="B57" i="1"/>
  <c r="E42" i="1"/>
  <c r="D42" i="1"/>
  <c r="B42" i="1"/>
  <c r="C42" i="1"/>
  <c r="J6" i="2"/>
  <c r="F13" i="2"/>
  <c r="F14" i="2"/>
  <c r="B36" i="1"/>
  <c r="B51" i="1"/>
  <c r="B53" i="1"/>
  <c r="I8" i="2"/>
  <c r="B49" i="1"/>
  <c r="I7" i="2"/>
  <c r="B34" i="1"/>
  <c r="I15" i="2"/>
  <c r="I22" i="2"/>
  <c r="N22" i="2"/>
  <c r="I19" i="2"/>
  <c r="N19" i="2"/>
  <c r="I21" i="2"/>
  <c r="N21" i="2"/>
  <c r="I16" i="2"/>
  <c r="N16" i="2"/>
  <c r="I13" i="2"/>
  <c r="N13" i="2"/>
  <c r="I14" i="2"/>
  <c r="N14" i="2"/>
  <c r="F15" i="2" l="1"/>
  <c r="J15" i="2" s="1"/>
  <c r="C21" i="1" s="1"/>
  <c r="F17" i="2"/>
  <c r="F16" i="2"/>
  <c r="J8" i="2"/>
  <c r="F27" i="2"/>
  <c r="F24" i="2"/>
  <c r="F26" i="2"/>
  <c r="F23" i="2"/>
  <c r="F25" i="2"/>
  <c r="J7" i="2"/>
  <c r="F18" i="2"/>
  <c r="F21" i="2"/>
  <c r="J21" i="2" s="1"/>
  <c r="C37" i="1" s="1"/>
  <c r="B21" i="1"/>
  <c r="B38" i="1"/>
  <c r="B35" i="1"/>
  <c r="B37" i="1"/>
  <c r="B22" i="1"/>
  <c r="J16" i="2"/>
  <c r="C22" i="1" s="1"/>
  <c r="B19" i="1"/>
  <c r="J13" i="2"/>
  <c r="C19" i="1" s="1"/>
  <c r="B20" i="1"/>
  <c r="J14" i="2"/>
  <c r="C20" i="1" s="1"/>
  <c r="K6" i="2"/>
  <c r="J17" i="2" l="1"/>
  <c r="C23" i="1" s="1"/>
  <c r="L6" i="2"/>
  <c r="J27" i="2"/>
  <c r="C53" i="1" s="1"/>
  <c r="J24" i="2"/>
  <c r="C50" i="1" s="1"/>
  <c r="J26" i="2"/>
  <c r="C52" i="1" s="1"/>
  <c r="J23" i="2"/>
  <c r="C49" i="1" s="1"/>
  <c r="J25" i="2"/>
  <c r="C51" i="1" s="1"/>
  <c r="J18" i="2"/>
  <c r="C34" i="1" s="1"/>
  <c r="K8" i="2"/>
  <c r="K7" i="2"/>
  <c r="F19" i="2"/>
  <c r="F20" i="2"/>
  <c r="F22" i="2"/>
  <c r="G16" i="2" l="1"/>
  <c r="G14" i="2"/>
  <c r="G15" i="2"/>
  <c r="G17" i="2"/>
  <c r="M6" i="2"/>
  <c r="D17" i="1" s="1"/>
  <c r="G13" i="2"/>
  <c r="L8" i="2"/>
  <c r="M8" i="2" s="1"/>
  <c r="D47" i="1" s="1"/>
  <c r="G27" i="2"/>
  <c r="G24" i="2"/>
  <c r="G26" i="2"/>
  <c r="G23" i="2"/>
  <c r="G25" i="2"/>
  <c r="L7" i="2"/>
  <c r="G18" i="2"/>
  <c r="J19" i="2"/>
  <c r="C35" i="1" s="1"/>
  <c r="J20" i="2"/>
  <c r="C36" i="1" s="1"/>
  <c r="J22" i="2"/>
  <c r="C38" i="1" s="1"/>
  <c r="K16" i="2" l="1"/>
  <c r="D22" i="1" s="1"/>
  <c r="L16" i="2"/>
  <c r="E22" i="1" s="1"/>
  <c r="O16" i="2"/>
  <c r="K14" i="2"/>
  <c r="D20" i="1" s="1"/>
  <c r="L14" i="2"/>
  <c r="E20" i="1" s="1"/>
  <c r="O14" i="2"/>
  <c r="L15" i="2"/>
  <c r="E21" i="1" s="1"/>
  <c r="K15" i="2"/>
  <c r="D21" i="1" s="1"/>
  <c r="O15" i="2"/>
  <c r="K17" i="2"/>
  <c r="D23" i="1" s="1"/>
  <c r="O17" i="2"/>
  <c r="L17" i="2"/>
  <c r="E23" i="1" s="1"/>
  <c r="L13" i="2"/>
  <c r="E19" i="1" s="1"/>
  <c r="O13" i="2"/>
  <c r="K13" i="2"/>
  <c r="D19" i="1" s="1"/>
  <c r="L27" i="2"/>
  <c r="E53" i="1" s="1"/>
  <c r="O27" i="2"/>
  <c r="K27" i="2"/>
  <c r="D53" i="1" s="1"/>
  <c r="O24" i="2"/>
  <c r="L24" i="2"/>
  <c r="E50" i="1" s="1"/>
  <c r="K24" i="2"/>
  <c r="D50" i="1" s="1"/>
  <c r="O26" i="2"/>
  <c r="L26" i="2"/>
  <c r="E52" i="1" s="1"/>
  <c r="K26" i="2"/>
  <c r="D52" i="1" s="1"/>
  <c r="L23" i="2"/>
  <c r="E49" i="1" s="1"/>
  <c r="O23" i="2"/>
  <c r="K23" i="2"/>
  <c r="D49" i="1" s="1"/>
  <c r="O25" i="2"/>
  <c r="L25" i="2"/>
  <c r="E51" i="1" s="1"/>
  <c r="K25" i="2"/>
  <c r="D51" i="1" s="1"/>
  <c r="L18" i="2"/>
  <c r="E34" i="1" s="1"/>
  <c r="O18" i="2"/>
  <c r="K18" i="2"/>
  <c r="D34" i="1" s="1"/>
  <c r="M7" i="2"/>
  <c r="D32" i="1" s="1"/>
  <c r="G19" i="2"/>
  <c r="G20" i="2"/>
  <c r="G22" i="2"/>
  <c r="G21" i="2"/>
  <c r="B25" i="1" l="1"/>
  <c r="B26" i="1" s="1"/>
  <c r="E25" i="1"/>
  <c r="E26" i="1" s="1"/>
  <c r="D25" i="1"/>
  <c r="D26" i="1" s="1"/>
  <c r="C25" i="1"/>
  <c r="C26" i="1" s="1"/>
  <c r="D55" i="1"/>
  <c r="D56" i="1" s="1"/>
  <c r="C55" i="1"/>
  <c r="C56" i="1" s="1"/>
  <c r="E55" i="1"/>
  <c r="E56" i="1" s="1"/>
  <c r="B55" i="1"/>
  <c r="B56" i="1" s="1"/>
  <c r="E40" i="1"/>
  <c r="E41" i="1" s="1"/>
  <c r="D40" i="1"/>
  <c r="D41" i="1" s="1"/>
  <c r="B40" i="1"/>
  <c r="B41" i="1" s="1"/>
  <c r="C40" i="1"/>
  <c r="C41" i="1" s="1"/>
  <c r="L19" i="2"/>
  <c r="E35" i="1" s="1"/>
  <c r="O19" i="2"/>
  <c r="K19" i="2"/>
  <c r="D35" i="1" s="1"/>
  <c r="L20" i="2"/>
  <c r="E36" i="1" s="1"/>
  <c r="O20" i="2"/>
  <c r="K20" i="2"/>
  <c r="D36" i="1" s="1"/>
  <c r="L22" i="2"/>
  <c r="E38" i="1" s="1"/>
  <c r="O22" i="2"/>
  <c r="K22" i="2"/>
  <c r="D38" i="1" s="1"/>
  <c r="O21" i="2"/>
  <c r="K21" i="2"/>
  <c r="D37" i="1" s="1"/>
  <c r="L21" i="2"/>
  <c r="E37" i="1" s="1"/>
</calcChain>
</file>

<file path=xl/sharedStrings.xml><?xml version="1.0" encoding="utf-8"?>
<sst xmlns="http://schemas.openxmlformats.org/spreadsheetml/2006/main" count="161" uniqueCount="96">
  <si>
    <t>Independent refund calculator</t>
  </si>
  <si>
    <t>Spreadsheet assumptions only. Fees rounded on order totals; no application rules or code used.</t>
  </si>
  <si>
    <t>Ticket price</t>
  </si>
  <si>
    <t>Enter your price and quantities in yellow.</t>
  </si>
  <si>
    <t>HST</t>
  </si>
  <si>
    <t>Total tickets</t>
  </si>
  <si>
    <t>Groups are equal sized; returns fill group 1 first.</t>
  </si>
  <si>
    <t>Organizer fee rate</t>
  </si>
  <si>
    <t>Ticket groups</t>
  </si>
  <si>
    <t>This models a first return, with no discounts or prior refunds.</t>
  </si>
  <si>
    <t>Organizer fee per ticket</t>
  </si>
  <si>
    <t>Tickets being returned</t>
  </si>
  <si>
    <t>Flat rate: one charge. Per group: charge × groups.</t>
  </si>
  <si>
    <t>Showpass fee rate</t>
  </si>
  <si>
    <t>Shipping charge</t>
  </si>
  <si>
    <t>Per item: charge × tickets.</t>
  </si>
  <si>
    <t>Showpass fee per ticket</t>
  </si>
  <si>
    <t>Processing fee rate</t>
  </si>
  <si>
    <t>Processing fee per ticket</t>
  </si>
  <si>
    <t>VAT on Showpass / processing</t>
  </si>
  <si>
    <t>Fee base</t>
  </si>
  <si>
    <t>Ticket + shipping + organizer + HST</t>
  </si>
  <si>
    <t>Processing base also includes Showpass fee + its VAT.</t>
  </si>
  <si>
    <t>Rates copied from your example; all editable.</t>
  </si>
  <si>
    <t>Flat rate</t>
  </si>
  <si>
    <t>Shipping rule</t>
  </si>
  <si>
    <t>No fees selected</t>
  </si>
  <si>
    <t>Showpass only</t>
  </si>
  <si>
    <t>Processing only</t>
  </si>
  <si>
    <t>Both</t>
  </si>
  <si>
    <t>Never</t>
  </si>
  <si>
    <t>After all items returned</t>
  </si>
  <si>
    <t>Proportional</t>
  </si>
  <si>
    <t>Unshipped only: not fulfilled</t>
  </si>
  <si>
    <t>Unshipped only: fulfilled</t>
  </si>
  <si>
    <t>Withheld fees incl. fee taxes</t>
  </si>
  <si>
    <t>Display with missing org HST</t>
  </si>
  <si>
    <t>Bug offset: missing org HST</t>
  </si>
  <si>
    <t>Per group</t>
  </si>
  <si>
    <t>Per item</t>
  </si>
  <si>
    <t>Arrow: predicted credit → hypothetical credit including organizer fee + its HST.</t>
  </si>
  <si>
    <t>The bug offset is organizer-fee HST omitted from the displayed withheld fees; correcting the display does not change credit.</t>
  </si>
  <si>
    <t>Withheld-fee rows exclude shipping and unreturned tickets. Never also withholds shipping + its HST.</t>
  </si>
  <si>
    <t>Unshipped rows treat all selected tickets as either unfulfilled or fulfilled. No application eligibility is evaluated.</t>
  </si>
  <si>
    <t>Order-total rounding is an explicit assumption; this file is not a prediction of application rounding or implementation.</t>
  </si>
  <si>
    <t>Independent arithmetic</t>
  </si>
  <si>
    <t>Order-total fee rounding. Fixed fee portions apply per ticket; refunds allocate original fees by ticket count.</t>
  </si>
  <si>
    <t>Method</t>
  </si>
  <si>
    <t>Ticket subtotal</t>
  </si>
  <si>
    <t>Shipping</t>
  </si>
  <si>
    <t>Ticket HST</t>
  </si>
  <si>
    <t>Shipping HST</t>
  </si>
  <si>
    <t>Organizer fee</t>
  </si>
  <si>
    <t>Organizer HST</t>
  </si>
  <si>
    <t>Showpass fee</t>
  </si>
  <si>
    <t>Showpass VAT</t>
  </si>
  <si>
    <t>Processing fee</t>
  </si>
  <si>
    <t>Processing VAT</t>
  </si>
  <si>
    <t>Purchase total</t>
  </si>
  <si>
    <t>Selected share</t>
  </si>
  <si>
    <t>Selected org fee</t>
  </si>
  <si>
    <t>Selected org HST</t>
  </si>
  <si>
    <t>Returned shipping</t>
  </si>
  <si>
    <t>Returned shipping HST</t>
  </si>
  <si>
    <t>Ticket + HST</t>
  </si>
  <si>
    <t>Showpass + VAT</t>
  </si>
  <si>
    <t>Processing + VAT</t>
  </si>
  <si>
    <t>Org fee + HST</t>
  </si>
  <si>
    <t>No fees credit</t>
  </si>
  <si>
    <t>Showpass credit</t>
  </si>
  <si>
    <t>Processing credit</t>
  </si>
  <si>
    <t>Both credit</t>
  </si>
  <si>
    <t>Shipping withheld</t>
  </si>
  <si>
    <t>Shipping HST withheld</t>
  </si>
  <si>
    <t>Selected fees incl. tax</t>
  </si>
  <si>
    <t>Organizer HST offset</t>
  </si>
  <si>
    <t>Model assumptions</t>
  </si>
  <si>
    <t>Flat = one charge; group = charge × groups; item = charge × ticket quantity. Equal-sized groups, same ticket price/rates.</t>
  </si>
  <si>
    <t>Tax</t>
  </si>
  <si>
    <t>HST calculated separately on ticket subtotal, shipping, and organizer fee; each rounded to cents at order level.</t>
  </si>
  <si>
    <t>Choose ticket only, or ticket + shipping + organizer fee + HST on all three. Processing adds Showpass fee and its VAT.</t>
  </si>
  <si>
    <t>Fee rounding</t>
  </si>
  <si>
    <t>Percentage + per-ticket fixed fees rounded once on each original order total. Each fee tax is rounded separately.</t>
  </si>
  <si>
    <t>Refund allocation</t>
  </si>
  <si>
    <t>First return only. Allocate each original fee/tax by returned-ticket proportion, rounding each component separately.</t>
  </si>
  <si>
    <t>After all</t>
  </si>
  <si>
    <t>Flat: return shipping once all tickets return. Group/item: return charges for fully returned groups; group 1 fills first.</t>
  </si>
  <si>
    <t>Shipping and its tax allocated by number returned / number purchased. Unshipped-only uses same share when unfulfilled.</t>
  </si>
  <si>
    <t>Organizer fees</t>
  </si>
  <si>
    <t>Excluded in the first value; second value hypothetically adds the allocated organizer fee and its HST.</t>
  </si>
  <si>
    <t>Withheld display</t>
  </si>
  <si>
    <t>True withheld fees = unselected Showpass/processing including VAT + organizer fee/HST. Simulated bug display subtracts organizer HST.</t>
  </si>
  <si>
    <t>Source inputs</t>
  </si>
  <si>
    <t>Rates from the user’s del.json example and earlier screenshots. Bug-display offset from the user’s screenshots and discussion.</t>
  </si>
  <si>
    <t>Scope</t>
  </si>
  <si>
    <t>Independent arithmetic assumptions; no backend source, app execution, saved invoice values, authorization gates, discounts or prior refunds.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</si>
</sst>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%"/>
  </numFmts>
  <fonts count="5">
    <font>
      <sz val="11"/>
      <name val="Carlito"/>
    </font>
    <font>
      <sz val="11"/>
      <color rgb="FF253347"/>
      <name val="Arial"/>
      <family val="2"/>
    </font>
    <font>
      <b/>
      <sz val="17"/>
      <color rgb="FF24364B"/>
      <name val="Arial"/>
      <family val="2"/>
    </font>
    <font>
      <b/>
      <sz val="11"/>
      <color rgb="FFFFFFFF"/>
      <name val="Arial"/>
      <family val="2"/>
    </font>
    <font>
      <b/>
      <sz val="14"/>
      <color rgb="FF24364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4364B"/>
      </patternFill>
    </fill>
  </fills>
  <borders count="10">
    <border>
      <left/>
      <right/>
      <top/>
      <bottom/>
      <diagonal/>
    </border>
    <border>
      <left/>
      <right style="thin">
        <color rgb="FFE5EAF0"/>
      </right>
      <top/>
      <bottom style="thin">
        <color rgb="FFE5EAF0"/>
      </bottom>
      <diagonal/>
    </border>
    <border>
      <left style="thin">
        <color rgb="FFE5EAF0"/>
      </left>
      <right style="thin">
        <color rgb="FFE5EAF0"/>
      </right>
      <top/>
      <bottom style="thin">
        <color rgb="FFE5EAF0"/>
      </bottom>
      <diagonal/>
    </border>
    <border>
      <left style="thin">
        <color rgb="FFE5EAF0"/>
      </left>
      <right/>
      <top/>
      <bottom style="thin">
        <color rgb="FFE5EAF0"/>
      </bottom>
      <diagonal/>
    </border>
    <border>
      <left/>
      <right style="thin">
        <color rgb="FFE5EAF0"/>
      </right>
      <top style="thin">
        <color rgb="FFE5EAF0"/>
      </top>
      <bottom style="thin">
        <color rgb="FFE5EAF0"/>
      </bottom>
      <diagonal/>
    </border>
    <border>
      <left style="thin">
        <color rgb="FFE5EAF0"/>
      </left>
      <right style="thin">
        <color rgb="FFE5EAF0"/>
      </right>
      <top style="thin">
        <color rgb="FFE5EAF0"/>
      </top>
      <bottom style="thin">
        <color rgb="FFE5EAF0"/>
      </bottom>
      <diagonal/>
    </border>
    <border>
      <left style="thin">
        <color rgb="FFE5EAF0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E5EAF0"/>
      </right>
      <top style="thin">
        <color rgb="FFE5EAF0"/>
      </top>
      <bottom/>
      <diagonal/>
    </border>
    <border>
      <left style="thin">
        <color rgb="FFE5EAF0"/>
      </left>
      <right style="thin">
        <color rgb="FFE5EAF0"/>
      </right>
      <top style="thin">
        <color rgb="FFE5EAF0"/>
      </top>
      <bottom/>
      <diagonal/>
    </border>
    <border>
      <left style="thin">
        <color rgb="FFE5EAF0"/>
      </left>
      <right/>
      <top style="thin">
        <color rgb="FFE5EAF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3" fillId="3" borderId="0" xfId="0" applyFont="1" applyFill="1" applyAlignment="1">
      <alignment vertical="center" wrapText="1"/>
    </xf>
    <xf numFmtId="0" fontId="4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165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showGridLines="0" tabSelected="1" workbookViewId="0">
      <selection activeCell="B21" sqref="B21"/>
    </sheetView>
  </sheetViews>
  <sheetFormatPr baseColWidth="10" defaultColWidth="8.83203125" defaultRowHeight="15"/>
  <cols>
    <col min="1" max="1" width="38" customWidth="1"/>
    <col min="2" max="5" width="28" customWidth="1"/>
    <col min="6" max="6" width="3" customWidth="1"/>
    <col min="7" max="7" width="30" customWidth="1"/>
    <col min="8" max="8" width="16" customWidth="1"/>
  </cols>
  <sheetData>
    <row r="1" spans="1:18" ht="2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6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6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6" customHeight="1">
      <c r="A5" s="1" t="s">
        <v>2</v>
      </c>
      <c r="B5" s="4">
        <v>20</v>
      </c>
      <c r="C5" s="1"/>
      <c r="D5" s="1" t="s">
        <v>3</v>
      </c>
      <c r="E5" s="1"/>
      <c r="F5" s="1"/>
      <c r="G5" s="1" t="s">
        <v>4</v>
      </c>
      <c r="H5" s="5">
        <v>0.09</v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6" customHeight="1">
      <c r="A6" s="1" t="s">
        <v>5</v>
      </c>
      <c r="B6" s="3">
        <v>1</v>
      </c>
      <c r="C6" s="1"/>
      <c r="D6" s="1" t="s">
        <v>6</v>
      </c>
      <c r="E6" s="1"/>
      <c r="F6" s="1"/>
      <c r="G6" s="1" t="s">
        <v>7</v>
      </c>
      <c r="H6" s="5">
        <v>6.7000000000000004E-2</v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6" customHeight="1">
      <c r="A7" s="1" t="s">
        <v>8</v>
      </c>
      <c r="B7" s="3">
        <v>1</v>
      </c>
      <c r="C7" s="1"/>
      <c r="D7" s="1" t="s">
        <v>9</v>
      </c>
      <c r="E7" s="1"/>
      <c r="F7" s="1"/>
      <c r="G7" s="1" t="s">
        <v>10</v>
      </c>
      <c r="H7" s="4">
        <v>0.67</v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6" customHeight="1">
      <c r="A8" s="1" t="s">
        <v>11</v>
      </c>
      <c r="B8" s="3">
        <v>1</v>
      </c>
      <c r="C8" s="1"/>
      <c r="D8" s="1" t="s">
        <v>12</v>
      </c>
      <c r="E8" s="1"/>
      <c r="F8" s="1"/>
      <c r="G8" s="1" t="s">
        <v>13</v>
      </c>
      <c r="H8" s="5">
        <v>7.0000000000000007E-2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6" customHeight="1">
      <c r="A9" s="1" t="s">
        <v>14</v>
      </c>
      <c r="B9" s="4">
        <v>10</v>
      </c>
      <c r="C9" s="1"/>
      <c r="D9" s="1" t="s">
        <v>15</v>
      </c>
      <c r="E9" s="1"/>
      <c r="F9" s="1"/>
      <c r="G9" s="1" t="s">
        <v>16</v>
      </c>
      <c r="H9" s="4">
        <v>0.67</v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6" customHeight="1">
      <c r="A10" s="1"/>
      <c r="B10" s="1"/>
      <c r="C10" s="1"/>
      <c r="D10" s="1"/>
      <c r="E10" s="1"/>
      <c r="F10" s="1"/>
      <c r="G10" s="1" t="s">
        <v>17</v>
      </c>
      <c r="H10" s="5">
        <v>0.05</v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6" customHeight="1">
      <c r="A11" s="1" t="str">
        <f>IF(AND(COUNT(B5:B9)=5,B5&gt;=0,B6&gt;=1,B6=INT(B6),B7&gt;=1,B7=INT(B7),B7&lt;=B6,MOD(B6,B7)=0,B8&gt;=1,B8&lt;=B6,B8=INT(B8),B9&gt;=0),"Ready","Check quantities: equal-sized groups; return 1 to total tickets.")</f>
        <v>Ready</v>
      </c>
      <c r="B11" s="1"/>
      <c r="C11" s="1"/>
      <c r="D11" s="1"/>
      <c r="E11" s="1"/>
      <c r="F11" s="1"/>
      <c r="G11" s="1" t="s">
        <v>18</v>
      </c>
      <c r="H11" s="4">
        <v>0.69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6" customHeight="1">
      <c r="A12" s="1"/>
      <c r="B12" s="1"/>
      <c r="C12" s="1"/>
      <c r="D12" s="1"/>
      <c r="E12" s="1"/>
      <c r="F12" s="1"/>
      <c r="G12" s="1" t="s">
        <v>19</v>
      </c>
      <c r="H12" s="5">
        <v>0.2</v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6" customHeight="1">
      <c r="A13" s="1" t="s">
        <v>20</v>
      </c>
      <c r="B13" s="26" t="s">
        <v>21</v>
      </c>
      <c r="C13" s="26"/>
      <c r="D13" s="1" t="s">
        <v>22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6" customHeight="1">
      <c r="A14" s="1"/>
      <c r="B14" s="1"/>
      <c r="C14" s="1"/>
      <c r="D14" s="1"/>
      <c r="E14" s="1"/>
      <c r="F14" s="1"/>
      <c r="G14" s="1" t="s">
        <v>23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6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6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6" customHeight="1">
      <c r="A17" s="7" t="s">
        <v>24</v>
      </c>
      <c r="B17" s="1"/>
      <c r="C17" s="1"/>
      <c r="D17" s="1" t="str">
        <f>"Purchase total: "&amp;TEXT(Math!M6,"$0.00")</f>
        <v>Purchase total: $41.76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34" customHeight="1">
      <c r="A18" s="6" t="s">
        <v>25</v>
      </c>
      <c r="B18" s="6" t="s">
        <v>26</v>
      </c>
      <c r="C18" s="6" t="s">
        <v>27</v>
      </c>
      <c r="D18" s="6" t="s">
        <v>28</v>
      </c>
      <c r="E18" s="6" t="s">
        <v>29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9" customHeight="1">
      <c r="A19" s="20" t="s">
        <v>30</v>
      </c>
      <c r="B19" s="10" t="str">
        <f>IF($A$11="Ready",TEXT(Math!I13,"$0.00")&amp;" → "&amp;TEXT(Math!I13+Math!H13,"$0.00"),"Check inputs")</f>
        <v>$21.80 → $23.99</v>
      </c>
      <c r="C19" s="10" t="str">
        <f>IF($A$11="Ready",TEXT(Math!J13,"$0.00")&amp;" → "&amp;TEXT(Math!J13+Math!H13,"$0.00"),"Check inputs")</f>
        <v>$25.53 → $27.72</v>
      </c>
      <c r="D19" s="10" t="str">
        <f>IF($A$11="Ready",TEXT(Math!K13,"$0.00")&amp;" → "&amp;TEXT(Math!K13+Math!H13,"$0.00"),"Check inputs")</f>
        <v>$24.94 → $27.13</v>
      </c>
      <c r="E19" s="11" t="str">
        <f>IF($A$11="Ready",TEXT(Math!L13,"$0.00")&amp;" → "&amp;TEXT(Math!L13+Math!H13,"$0.00"),"Check inputs")</f>
        <v>$28.67 → $30.86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9" customHeight="1">
      <c r="A20" s="21" t="s">
        <v>31</v>
      </c>
      <c r="B20" s="12" t="str">
        <f>IF($A$11="Ready",TEXT(Math!I14,"$0.00")&amp;" → "&amp;TEXT(Math!I14+Math!H14,"$0.00"),"Check inputs")</f>
        <v>$32.70 → $34.89</v>
      </c>
      <c r="C20" s="12" t="str">
        <f>IF($A$11="Ready",TEXT(Math!J14,"$0.00")&amp;" → "&amp;TEXT(Math!J14+Math!H14,"$0.00"),"Check inputs")</f>
        <v>$36.43 → $38.62</v>
      </c>
      <c r="D20" s="12" t="str">
        <f>IF($A$11="Ready",TEXT(Math!K14,"$0.00")&amp;" → "&amp;TEXT(Math!K14+Math!H14,"$0.00"),"Check inputs")</f>
        <v>$35.84 → $38.03</v>
      </c>
      <c r="E20" s="13" t="str">
        <f>IF($A$11="Ready",TEXT(Math!L14,"$0.00")&amp;" → "&amp;TEXT(Math!L14+Math!H14,"$0.00"),"Check inputs")</f>
        <v>$39.57 → $41.76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9" customHeight="1">
      <c r="A21" s="21" t="s">
        <v>32</v>
      </c>
      <c r="B21" s="12" t="str">
        <f>IF($A$11="Ready",TEXT(Math!I15,"$0.00")&amp;" → "&amp;TEXT(Math!I15+Math!H15,"$0.00"),"Check inputs")</f>
        <v>$32.70 → $34.89</v>
      </c>
      <c r="C21" s="12" t="str">
        <f>IF($A$11="Ready",TEXT(Math!J15,"$0.00")&amp;" → "&amp;TEXT(Math!J15+Math!H15,"$0.00"),"Check inputs")</f>
        <v>$36.43 → $38.62</v>
      </c>
      <c r="D21" s="12" t="str">
        <f>IF($A$11="Ready",TEXT(Math!K15,"$0.00")&amp;" → "&amp;TEXT(Math!K15+Math!H15,"$0.00"),"Check inputs")</f>
        <v>$35.84 → $38.03</v>
      </c>
      <c r="E21" s="13" t="str">
        <f>IF($A$11="Ready",TEXT(Math!L15,"$0.00")&amp;" → "&amp;TEXT(Math!L15+Math!H15,"$0.00"),"Check inputs")</f>
        <v>$39.57 → $41.76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9" customHeight="1">
      <c r="A22" s="21" t="s">
        <v>33</v>
      </c>
      <c r="B22" s="12" t="str">
        <f>IF($A$11="Ready",TEXT(Math!I16,"$0.00")&amp;" → "&amp;TEXT(Math!I16+Math!H16,"$0.00"),"Check inputs")</f>
        <v>$32.70 → $34.89</v>
      </c>
      <c r="C22" s="12" t="str">
        <f>IF($A$11="Ready",TEXT(Math!J16,"$0.00")&amp;" → "&amp;TEXT(Math!J16+Math!H16,"$0.00"),"Check inputs")</f>
        <v>$36.43 → $38.62</v>
      </c>
      <c r="D22" s="12" t="str">
        <f>IF($A$11="Ready",TEXT(Math!K16,"$0.00")&amp;" → "&amp;TEXT(Math!K16+Math!H16,"$0.00"),"Check inputs")</f>
        <v>$35.84 → $38.03</v>
      </c>
      <c r="E22" s="13" t="str">
        <f>IF($A$11="Ready",TEXT(Math!L16,"$0.00")&amp;" → "&amp;TEXT(Math!L16+Math!H16,"$0.00"),"Check inputs")</f>
        <v>$39.57 → $41.76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9" customHeight="1">
      <c r="A23" s="22" t="s">
        <v>34</v>
      </c>
      <c r="B23" s="14" t="str">
        <f>IF($A$11="Ready",TEXT(Math!I17,"$0.00")&amp;" → "&amp;TEXT(Math!I17+Math!H17,"$0.00"),"Check inputs")</f>
        <v>$21.80 → $23.99</v>
      </c>
      <c r="C23" s="14" t="str">
        <f>IF($A$11="Ready",TEXT(Math!J17,"$0.00")&amp;" → "&amp;TEXT(Math!J17+Math!H17,"$0.00"),"Check inputs")</f>
        <v>$25.53 → $27.72</v>
      </c>
      <c r="D23" s="14" t="str">
        <f>IF($A$11="Ready",TEXT(Math!K17,"$0.00")&amp;" → "&amp;TEXT(Math!K17+Math!H17,"$0.00"),"Check inputs")</f>
        <v>$24.94 → $27.13</v>
      </c>
      <c r="E23" s="15" t="str">
        <f>IF($A$11="Ready",TEXT(Math!L17,"$0.00")&amp;" → "&amp;TEXT(Math!L17+Math!H17,"$0.00"),"Check inputs")</f>
        <v>$28.67 → $30.86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9" customHeight="1">
      <c r="A24" s="9"/>
      <c r="B24" s="16"/>
      <c r="C24" s="16"/>
      <c r="D24" s="16"/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9" customHeight="1">
      <c r="A25" s="9" t="s">
        <v>35</v>
      </c>
      <c r="B25" s="17">
        <f>IF($A$11="Ready",ROUND(Math!O13-0,2),"Check inputs")</f>
        <v>9.06</v>
      </c>
      <c r="C25" s="17">
        <f>IF($A$11="Ready",ROUND(Math!O13-Math!F13,2),"Check inputs")</f>
        <v>5.33</v>
      </c>
      <c r="D25" s="17">
        <f>IF($A$11="Ready",ROUND(Math!O13-Math!G13,2),"Check inputs")</f>
        <v>5.92</v>
      </c>
      <c r="E25" s="17">
        <f>IF($A$11="Ready",ROUND(Math!O13-SUM(Math!F13:G13),2),"Check inputs")</f>
        <v>2.19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9" customHeight="1">
      <c r="A26" s="9" t="s">
        <v>36</v>
      </c>
      <c r="B26" s="17">
        <f>IF($A$11="Ready",ROUND(B25-Math!P13,2),"Check inputs")</f>
        <v>8.8800000000000008</v>
      </c>
      <c r="C26" s="17">
        <f>IF($A$11="Ready",ROUND(C25-Math!P13,2),"Check inputs")</f>
        <v>5.15</v>
      </c>
      <c r="D26" s="17">
        <f>IF($A$11="Ready",ROUND(D25-Math!P13,2),"Check inputs")</f>
        <v>5.74</v>
      </c>
      <c r="E26" s="17">
        <f>IF($A$11="Ready",ROUND(E25-Math!P13,2),"Check inputs")</f>
        <v>2.0099999999999998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9" customHeight="1">
      <c r="A27" s="23" t="s">
        <v>37</v>
      </c>
      <c r="B27" s="18">
        <f>IF($A$11="Ready",Math!P13,"Check inputs")</f>
        <v>0.18</v>
      </c>
      <c r="C27" s="18">
        <f>IF($A$11="Ready",Math!P13,"Check inputs")</f>
        <v>0.18</v>
      </c>
      <c r="D27" s="18">
        <f>IF($A$11="Ready",Math!P13,"Check inputs")</f>
        <v>0.18</v>
      </c>
      <c r="E27" s="18">
        <f>IF($A$11="Ready",Math!P13,"Check inputs")</f>
        <v>0.18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26" customHeight="1">
      <c r="A28" s="9"/>
      <c r="B28" s="16"/>
      <c r="C28" s="16"/>
      <c r="D28" s="16"/>
      <c r="E28" s="1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6" customHeight="1">
      <c r="A29" s="9"/>
      <c r="B29" s="16"/>
      <c r="C29" s="16"/>
      <c r="D29" s="16"/>
      <c r="E29" s="1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6" customHeight="1">
      <c r="A30" s="9"/>
      <c r="B30" s="16"/>
      <c r="C30" s="16"/>
      <c r="D30" s="16"/>
      <c r="E30" s="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6" customHeight="1">
      <c r="A31" s="9"/>
      <c r="B31" s="16"/>
      <c r="C31" s="16"/>
      <c r="D31" s="16"/>
      <c r="E31" s="1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6" customHeight="1">
      <c r="A32" s="24" t="s">
        <v>38</v>
      </c>
      <c r="B32" s="16"/>
      <c r="C32" s="16"/>
      <c r="D32" s="16" t="str">
        <f>"Purchase total: "&amp;TEXT(Math!M7,"$0.00")</f>
        <v>Purchase total: $41.76</v>
      </c>
      <c r="E32" s="1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34" customHeight="1">
      <c r="A33" s="6" t="s">
        <v>25</v>
      </c>
      <c r="B33" s="19" t="s">
        <v>26</v>
      </c>
      <c r="C33" s="19" t="s">
        <v>27</v>
      </c>
      <c r="D33" s="19" t="s">
        <v>28</v>
      </c>
      <c r="E33" s="19" t="s">
        <v>29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9" customHeight="1">
      <c r="A34" s="20" t="s">
        <v>30</v>
      </c>
      <c r="B34" s="10" t="str">
        <f>IF($A$11="Ready",TEXT(Math!I18,"$0.00")&amp;" → "&amp;TEXT(Math!I18+Math!H18,"$0.00"),"Check inputs")</f>
        <v>$21.80 → $23.99</v>
      </c>
      <c r="C34" s="10" t="str">
        <f>IF($A$11="Ready",TEXT(Math!J18,"$0.00")&amp;" → "&amp;TEXT(Math!J18+Math!H18,"$0.00"),"Check inputs")</f>
        <v>$25.53 → $27.72</v>
      </c>
      <c r="D34" s="10" t="str">
        <f>IF($A$11="Ready",TEXT(Math!K18,"$0.00")&amp;" → "&amp;TEXT(Math!K18+Math!H18,"$0.00"),"Check inputs")</f>
        <v>$24.94 → $27.13</v>
      </c>
      <c r="E34" s="11" t="str">
        <f>IF($A$11="Ready",TEXT(Math!L18,"$0.00")&amp;" → "&amp;TEXT(Math!L18+Math!H18,"$0.00"),"Check inputs")</f>
        <v>$28.67 → $30.86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29" customHeight="1">
      <c r="A35" s="21" t="s">
        <v>31</v>
      </c>
      <c r="B35" s="12" t="str">
        <f>IF($A$11="Ready",TEXT(Math!I19,"$0.00")&amp;" → "&amp;TEXT(Math!I19+Math!H19,"$0.00"),"Check inputs")</f>
        <v>$32.70 → $34.89</v>
      </c>
      <c r="C35" s="12" t="str">
        <f>IF($A$11="Ready",TEXT(Math!J19,"$0.00")&amp;" → "&amp;TEXT(Math!J19+Math!H19,"$0.00"),"Check inputs")</f>
        <v>$36.43 → $38.62</v>
      </c>
      <c r="D35" s="12" t="str">
        <f>IF($A$11="Ready",TEXT(Math!K19,"$0.00")&amp;" → "&amp;TEXT(Math!K19+Math!H19,"$0.00"),"Check inputs")</f>
        <v>$35.84 → $38.03</v>
      </c>
      <c r="E35" s="13" t="str">
        <f>IF($A$11="Ready",TEXT(Math!L19,"$0.00")&amp;" → "&amp;TEXT(Math!L19+Math!H19,"$0.00"),"Check inputs")</f>
        <v>$39.57 → $41.76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9" customHeight="1">
      <c r="A36" s="21" t="s">
        <v>32</v>
      </c>
      <c r="B36" s="12" t="str">
        <f>IF($A$11="Ready",TEXT(Math!I20,"$0.00")&amp;" → "&amp;TEXT(Math!I20+Math!H20,"$0.00"),"Check inputs")</f>
        <v>$32.70 → $34.89</v>
      </c>
      <c r="C36" s="12" t="str">
        <f>IF($A$11="Ready",TEXT(Math!J20,"$0.00")&amp;" → "&amp;TEXT(Math!J20+Math!H20,"$0.00"),"Check inputs")</f>
        <v>$36.43 → $38.62</v>
      </c>
      <c r="D36" s="12" t="str">
        <f>IF($A$11="Ready",TEXT(Math!K20,"$0.00")&amp;" → "&amp;TEXT(Math!K20+Math!H20,"$0.00"),"Check inputs")</f>
        <v>$35.84 → $38.03</v>
      </c>
      <c r="E36" s="13" t="str">
        <f>IF($A$11="Ready",TEXT(Math!L20,"$0.00")&amp;" → "&amp;TEXT(Math!L20+Math!H20,"$0.00"),"Check inputs")</f>
        <v>$39.57 → $41.76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9" customHeight="1">
      <c r="A37" s="21" t="s">
        <v>33</v>
      </c>
      <c r="B37" s="12" t="str">
        <f>IF($A$11="Ready",TEXT(Math!I21,"$0.00")&amp;" → "&amp;TEXT(Math!I21+Math!H21,"$0.00"),"Check inputs")</f>
        <v>$32.70 → $34.89</v>
      </c>
      <c r="C37" s="12" t="str">
        <f>IF($A$11="Ready",TEXT(Math!J21,"$0.00")&amp;" → "&amp;TEXT(Math!J21+Math!H21,"$0.00"),"Check inputs")</f>
        <v>$36.43 → $38.62</v>
      </c>
      <c r="D37" s="12" t="str">
        <f>IF($A$11="Ready",TEXT(Math!K21,"$0.00")&amp;" → "&amp;TEXT(Math!K21+Math!H21,"$0.00"),"Check inputs")</f>
        <v>$35.84 → $38.03</v>
      </c>
      <c r="E37" s="13" t="str">
        <f>IF($A$11="Ready",TEXT(Math!L21,"$0.00")&amp;" → "&amp;TEXT(Math!L21+Math!H21,"$0.00"),"Check inputs")</f>
        <v>$39.57 → $41.76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9" customHeight="1">
      <c r="A38" s="22" t="s">
        <v>34</v>
      </c>
      <c r="B38" s="14" t="str">
        <f>IF($A$11="Ready",TEXT(Math!I22,"$0.00")&amp;" → "&amp;TEXT(Math!I22+Math!H22,"$0.00"),"Check inputs")</f>
        <v>$21.80 → $23.99</v>
      </c>
      <c r="C38" s="14" t="str">
        <f>IF($A$11="Ready",TEXT(Math!J22,"$0.00")&amp;" → "&amp;TEXT(Math!J22+Math!H22,"$0.00"),"Check inputs")</f>
        <v>$25.53 → $27.72</v>
      </c>
      <c r="D38" s="14" t="str">
        <f>IF($A$11="Ready",TEXT(Math!K22,"$0.00")&amp;" → "&amp;TEXT(Math!K22+Math!H22,"$0.00"),"Check inputs")</f>
        <v>$24.94 → $27.13</v>
      </c>
      <c r="E38" s="15" t="str">
        <f>IF($A$11="Ready",TEXT(Math!L22,"$0.00")&amp;" → "&amp;TEXT(Math!L22+Math!H22,"$0.00"),"Check inputs")</f>
        <v>$28.67 → $30.86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9" customHeight="1">
      <c r="A39" s="9"/>
      <c r="B39" s="16"/>
      <c r="C39" s="16"/>
      <c r="D39" s="16"/>
      <c r="E39" s="1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29" customHeight="1">
      <c r="A40" s="9" t="s">
        <v>35</v>
      </c>
      <c r="B40" s="17">
        <f>IF($A$11="Ready",ROUND(Math!O18-0,2),"Check inputs")</f>
        <v>9.06</v>
      </c>
      <c r="C40" s="17">
        <f>IF($A$11="Ready",ROUND(Math!O18-Math!F18,2),"Check inputs")</f>
        <v>5.33</v>
      </c>
      <c r="D40" s="17">
        <f>IF($A$11="Ready",ROUND(Math!O18-Math!G18,2),"Check inputs")</f>
        <v>5.92</v>
      </c>
      <c r="E40" s="17">
        <f>IF($A$11="Ready",ROUND(Math!O18-SUM(Math!F18:G18),2),"Check inputs")</f>
        <v>2.19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29" customHeight="1">
      <c r="A41" s="9" t="s">
        <v>36</v>
      </c>
      <c r="B41" s="17">
        <f>IF($A$11="Ready",ROUND(B40-Math!P18,2),"Check inputs")</f>
        <v>8.8800000000000008</v>
      </c>
      <c r="C41" s="17">
        <f>IF($A$11="Ready",ROUND(C40-Math!P18,2),"Check inputs")</f>
        <v>5.15</v>
      </c>
      <c r="D41" s="17">
        <f>IF($A$11="Ready",ROUND(D40-Math!P18,2),"Check inputs")</f>
        <v>5.74</v>
      </c>
      <c r="E41" s="17">
        <f>IF($A$11="Ready",ROUND(E40-Math!P18,2),"Check inputs")</f>
        <v>2.0099999999999998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9" customHeight="1">
      <c r="A42" s="23" t="s">
        <v>37</v>
      </c>
      <c r="B42" s="18">
        <f>IF($A$11="Ready",Math!P18,"Check inputs")</f>
        <v>0.18</v>
      </c>
      <c r="C42" s="18">
        <f>IF($A$11="Ready",Math!P18,"Check inputs")</f>
        <v>0.18</v>
      </c>
      <c r="D42" s="18">
        <f>IF($A$11="Ready",Math!P18,"Check inputs")</f>
        <v>0.18</v>
      </c>
      <c r="E42" s="18">
        <f>IF($A$11="Ready",Math!P18,"Check inputs")</f>
        <v>0.18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26" customHeight="1">
      <c r="A43" s="9"/>
      <c r="B43" s="16"/>
      <c r="C43" s="16"/>
      <c r="D43" s="16"/>
      <c r="E43" s="1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6" customHeight="1">
      <c r="A44" s="9"/>
      <c r="B44" s="16"/>
      <c r="C44" s="16"/>
      <c r="D44" s="16"/>
      <c r="E44" s="1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6" customHeight="1">
      <c r="A45" s="9"/>
      <c r="B45" s="16"/>
      <c r="C45" s="16"/>
      <c r="D45" s="16"/>
      <c r="E45" s="1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6" customHeight="1">
      <c r="A46" s="9"/>
      <c r="B46" s="16"/>
      <c r="C46" s="16"/>
      <c r="D46" s="16"/>
      <c r="E46" s="1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6" customHeight="1">
      <c r="A47" s="24" t="s">
        <v>39</v>
      </c>
      <c r="B47" s="16"/>
      <c r="C47" s="16"/>
      <c r="D47" s="16" t="str">
        <f>"Purchase total: "&amp;TEXT(Math!M8,"$0.00")</f>
        <v>Purchase total: $41.76</v>
      </c>
      <c r="E47" s="1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34" customHeight="1">
      <c r="A48" s="6" t="s">
        <v>25</v>
      </c>
      <c r="B48" s="19" t="s">
        <v>26</v>
      </c>
      <c r="C48" s="19" t="s">
        <v>27</v>
      </c>
      <c r="D48" s="19" t="s">
        <v>28</v>
      </c>
      <c r="E48" s="19" t="s">
        <v>29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9" customHeight="1">
      <c r="A49" s="20" t="s">
        <v>30</v>
      </c>
      <c r="B49" s="10" t="str">
        <f>IF($A$11="Ready",TEXT(Math!I23,"$0.00")&amp;" → "&amp;TEXT(Math!I23+Math!H23,"$0.00"),"Check inputs")</f>
        <v>$21.80 → $23.99</v>
      </c>
      <c r="C49" s="10" t="str">
        <f>IF($A$11="Ready",TEXT(Math!J23,"$0.00")&amp;" → "&amp;TEXT(Math!J23+Math!H23,"$0.00"),"Check inputs")</f>
        <v>$25.53 → $27.72</v>
      </c>
      <c r="D49" s="10" t="str">
        <f>IF($A$11="Ready",TEXT(Math!K23,"$0.00")&amp;" → "&amp;TEXT(Math!K23+Math!H23,"$0.00"),"Check inputs")</f>
        <v>$24.94 → $27.13</v>
      </c>
      <c r="E49" s="11" t="str">
        <f>IF($A$11="Ready",TEXT(Math!L23,"$0.00")&amp;" → "&amp;TEXT(Math!L23+Math!H23,"$0.00"),"Check inputs")</f>
        <v>$28.67 → $30.86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9" customHeight="1">
      <c r="A50" s="21" t="s">
        <v>31</v>
      </c>
      <c r="B50" s="12" t="str">
        <f>IF($A$11="Ready",TEXT(Math!I24,"$0.00")&amp;" → "&amp;TEXT(Math!I24+Math!H24,"$0.00"),"Check inputs")</f>
        <v>$32.70 → $34.89</v>
      </c>
      <c r="C50" s="12" t="str">
        <f>IF($A$11="Ready",TEXT(Math!J24,"$0.00")&amp;" → "&amp;TEXT(Math!J24+Math!H24,"$0.00"),"Check inputs")</f>
        <v>$36.43 → $38.62</v>
      </c>
      <c r="D50" s="12" t="str">
        <f>IF($A$11="Ready",TEXT(Math!K24,"$0.00")&amp;" → "&amp;TEXT(Math!K24+Math!H24,"$0.00"),"Check inputs")</f>
        <v>$35.84 → $38.03</v>
      </c>
      <c r="E50" s="13" t="str">
        <f>IF($A$11="Ready",TEXT(Math!L24,"$0.00")&amp;" → "&amp;TEXT(Math!L24+Math!H24,"$0.00"),"Check inputs")</f>
        <v>$39.57 → $41.76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9" customHeight="1">
      <c r="A51" s="21" t="s">
        <v>32</v>
      </c>
      <c r="B51" s="12" t="str">
        <f>IF($A$11="Ready",TEXT(Math!I25,"$0.00")&amp;" → "&amp;TEXT(Math!I25+Math!H25,"$0.00"),"Check inputs")</f>
        <v>$32.70 → $34.89</v>
      </c>
      <c r="C51" s="12" t="str">
        <f>IF($A$11="Ready",TEXT(Math!J25,"$0.00")&amp;" → "&amp;TEXT(Math!J25+Math!H25,"$0.00"),"Check inputs")</f>
        <v>$36.43 → $38.62</v>
      </c>
      <c r="D51" s="12" t="str">
        <f>IF($A$11="Ready",TEXT(Math!K25,"$0.00")&amp;" → "&amp;TEXT(Math!K25+Math!H25,"$0.00"),"Check inputs")</f>
        <v>$35.84 → $38.03</v>
      </c>
      <c r="E51" s="13" t="str">
        <f>IF($A$11="Ready",TEXT(Math!L25,"$0.00")&amp;" → "&amp;TEXT(Math!L25+Math!H25,"$0.00"),"Check inputs")</f>
        <v>$39.57 → $41.76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9" customHeight="1">
      <c r="A52" s="21" t="s">
        <v>33</v>
      </c>
      <c r="B52" s="12" t="str">
        <f>IF($A$11="Ready",TEXT(Math!I26,"$0.00")&amp;" → "&amp;TEXT(Math!I26+Math!H26,"$0.00"),"Check inputs")</f>
        <v>$32.70 → $34.89</v>
      </c>
      <c r="C52" s="12" t="str">
        <f>IF($A$11="Ready",TEXT(Math!J26,"$0.00")&amp;" → "&amp;TEXT(Math!J26+Math!H26,"$0.00"),"Check inputs")</f>
        <v>$36.43 → $38.62</v>
      </c>
      <c r="D52" s="12" t="str">
        <f>IF($A$11="Ready",TEXT(Math!K26,"$0.00")&amp;" → "&amp;TEXT(Math!K26+Math!H26,"$0.00"),"Check inputs")</f>
        <v>$35.84 → $38.03</v>
      </c>
      <c r="E52" s="13" t="str">
        <f>IF($A$11="Ready",TEXT(Math!L26,"$0.00")&amp;" → "&amp;TEXT(Math!L26+Math!H26,"$0.00"),"Check inputs")</f>
        <v>$39.57 → $41.76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9" customHeight="1">
      <c r="A53" s="22" t="s">
        <v>34</v>
      </c>
      <c r="B53" s="14" t="str">
        <f>IF($A$11="Ready",TEXT(Math!I27,"$0.00")&amp;" → "&amp;TEXT(Math!I27+Math!H27,"$0.00"),"Check inputs")</f>
        <v>$21.80 → $23.99</v>
      </c>
      <c r="C53" s="14" t="str">
        <f>IF($A$11="Ready",TEXT(Math!J27,"$0.00")&amp;" → "&amp;TEXT(Math!J27+Math!H27,"$0.00"),"Check inputs")</f>
        <v>$25.53 → $27.72</v>
      </c>
      <c r="D53" s="14" t="str">
        <f>IF($A$11="Ready",TEXT(Math!K27,"$0.00")&amp;" → "&amp;TEXT(Math!K27+Math!H27,"$0.00"),"Check inputs")</f>
        <v>$24.94 → $27.13</v>
      </c>
      <c r="E53" s="15" t="str">
        <f>IF($A$11="Ready",TEXT(Math!L27,"$0.00")&amp;" → "&amp;TEXT(Math!L27+Math!H27,"$0.00"),"Check inputs")</f>
        <v>$28.67 → $30.86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9" customHeight="1">
      <c r="A54" s="9"/>
      <c r="B54" s="16"/>
      <c r="C54" s="16"/>
      <c r="D54" s="16"/>
      <c r="E54" s="1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9" customHeight="1">
      <c r="A55" s="9" t="s">
        <v>35</v>
      </c>
      <c r="B55" s="17">
        <f>IF($A$11="Ready",ROUND(Math!O23-0,2),"Check inputs")</f>
        <v>9.06</v>
      </c>
      <c r="C55" s="17">
        <f>IF($A$11="Ready",ROUND(Math!O23-Math!F23,2),"Check inputs")</f>
        <v>5.33</v>
      </c>
      <c r="D55" s="17">
        <f>IF($A$11="Ready",ROUND(Math!O23-Math!G23,2),"Check inputs")</f>
        <v>5.92</v>
      </c>
      <c r="E55" s="17">
        <f>IF($A$11="Ready",ROUND(Math!O23-SUM(Math!F23:G23),2),"Check inputs")</f>
        <v>2.19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9" customHeight="1">
      <c r="A56" s="9" t="s">
        <v>36</v>
      </c>
      <c r="B56" s="17">
        <f>IF($A$11="Ready",ROUND(B55-Math!P23,2),"Check inputs")</f>
        <v>8.8800000000000008</v>
      </c>
      <c r="C56" s="17">
        <f>IF($A$11="Ready",ROUND(C55-Math!P23,2),"Check inputs")</f>
        <v>5.15</v>
      </c>
      <c r="D56" s="17">
        <f>IF($A$11="Ready",ROUND(D55-Math!P23,2),"Check inputs")</f>
        <v>5.74</v>
      </c>
      <c r="E56" s="17">
        <f>IF($A$11="Ready",ROUND(E55-Math!P23,2),"Check inputs")</f>
        <v>2.0099999999999998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9" customHeight="1">
      <c r="A57" s="23" t="s">
        <v>37</v>
      </c>
      <c r="B57" s="18">
        <f>IF($A$11="Ready",Math!P23,"Check inputs")</f>
        <v>0.18</v>
      </c>
      <c r="C57" s="18">
        <f>IF($A$11="Ready",Math!P23,"Check inputs")</f>
        <v>0.18</v>
      </c>
      <c r="D57" s="18">
        <f>IF($A$11="Ready",Math!P23,"Check inputs")</f>
        <v>0.18</v>
      </c>
      <c r="E57" s="18">
        <f>IF($A$11="Ready",Math!P23,"Check inputs")</f>
        <v>0.18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6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6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6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6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6" customHeight="1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6" customHeight="1">
      <c r="A64" s="1" t="s">
        <v>41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6" customHeight="1">
      <c r="A65" s="1" t="s">
        <v>42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6" customHeight="1">
      <c r="A66" s="1" t="s">
        <v>43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6" customHeight="1">
      <c r="A67" s="1" t="s">
        <v>44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6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6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6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6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6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6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6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6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6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6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6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6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6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6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6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6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6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6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</sheetData>
  <mergeCells count="1">
    <mergeCell ref="B13:C13"/>
  </mergeCells>
  <dataValidations count="2">
    <dataValidation type="list" sqref="B13" xr:uid="{00000000-0002-0000-0000-000000000000}">
      <formula1>"Ticket + shipping + organizer + HST,Ticket only"</formula1>
    </dataValidation>
    <dataValidation type="whole" sqref="B6:B8" xr:uid="{00000000-0002-0000-0000-000001000000}">
      <formula1>1</formula1>
      <formula2>1000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showGridLines="0" workbookViewId="0"/>
  </sheetViews>
  <sheetFormatPr baseColWidth="10" defaultColWidth="8.83203125" defaultRowHeight="15"/>
  <cols>
    <col min="1" max="1" width="20" customWidth="1"/>
    <col min="2" max="2" width="65" customWidth="1"/>
    <col min="3" max="16" width="19" customWidth="1"/>
  </cols>
  <sheetData>
    <row r="1" spans="1:18" ht="2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6" customHeight="1">
      <c r="A2" s="1" t="s">
        <v>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6" customHeight="1">
      <c r="A3" s="1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6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34" customHeight="1">
      <c r="A5" s="6" t="s">
        <v>47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20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58</v>
      </c>
      <c r="N5" s="6" t="s">
        <v>59</v>
      </c>
      <c r="O5" s="6" t="s">
        <v>60</v>
      </c>
      <c r="P5" s="6" t="s">
        <v>61</v>
      </c>
      <c r="Q5" s="1"/>
      <c r="R5" s="1"/>
    </row>
    <row r="6" spans="1:18" ht="26" customHeight="1">
      <c r="A6" s="1" t="s">
        <v>24</v>
      </c>
      <c r="B6" s="8">
        <f>Calculator!$B$5*Calculator!$B$6</f>
        <v>20</v>
      </c>
      <c r="C6" s="8">
        <f>Calculator!$B$9</f>
        <v>10</v>
      </c>
      <c r="D6" s="8">
        <f>ROUND(B6*Calculator!$H$5,2)</f>
        <v>1.8</v>
      </c>
      <c r="E6" s="8">
        <f>ROUND(C6*Calculator!$H$5,2)</f>
        <v>0.9</v>
      </c>
      <c r="F6" s="8">
        <f>ROUND((Calculator!$B$5*Calculator!$H$6+Calculator!$H$7)*Calculator!$B$6,2)</f>
        <v>2.0099999999999998</v>
      </c>
      <c r="G6" s="8">
        <f>ROUND(F6*Calculator!$H$5,2)</f>
        <v>0.18</v>
      </c>
      <c r="H6" s="8">
        <f>IF(Calculator!$B$13="Ticket only",B6,SUM(B6:G6))</f>
        <v>34.89</v>
      </c>
      <c r="I6" s="8">
        <f>ROUND(H6*Calculator!$H$8+Calculator!$H$9*Calculator!$B$6,2)</f>
        <v>3.11</v>
      </c>
      <c r="J6" s="8">
        <f>ROUND(I6*Calculator!$H$12,2)</f>
        <v>0.62</v>
      </c>
      <c r="K6" s="8">
        <f>ROUND((H6+I6+J6)*Calculator!$H$10+Calculator!$H$11*Calculator!$B$6,2)</f>
        <v>2.62</v>
      </c>
      <c r="L6" s="8">
        <f>ROUND(K6*Calculator!$H$12,2)</f>
        <v>0.52</v>
      </c>
      <c r="M6" s="8">
        <f>ROUND(SUM(B6:G6,I6:L6),2)</f>
        <v>41.76</v>
      </c>
      <c r="N6" s="25">
        <f>Calculator!$B$8/Calculator!$B$6</f>
        <v>1</v>
      </c>
      <c r="O6" s="8">
        <f>ROUND(F6*N6,2)</f>
        <v>2.0099999999999998</v>
      </c>
      <c r="P6" s="8">
        <f>ROUND(G6*N6,2)</f>
        <v>0.18</v>
      </c>
      <c r="Q6" s="1"/>
      <c r="R6" s="1"/>
    </row>
    <row r="7" spans="1:18" ht="26" customHeight="1">
      <c r="A7" s="1" t="s">
        <v>38</v>
      </c>
      <c r="B7" s="8">
        <f>Calculator!$B$5*Calculator!$B$6</f>
        <v>20</v>
      </c>
      <c r="C7" s="8">
        <f>Calculator!$B$9*Calculator!$B$7</f>
        <v>10</v>
      </c>
      <c r="D7" s="8">
        <f>ROUND(B7*Calculator!$H$5,2)</f>
        <v>1.8</v>
      </c>
      <c r="E7" s="8">
        <f>ROUND(C7*Calculator!$H$5,2)</f>
        <v>0.9</v>
      </c>
      <c r="F7" s="8">
        <f>ROUND((Calculator!$B$5*Calculator!$H$6+Calculator!$H$7)*Calculator!$B$6,2)</f>
        <v>2.0099999999999998</v>
      </c>
      <c r="G7" s="8">
        <f>ROUND(F7*Calculator!$H$5,2)</f>
        <v>0.18</v>
      </c>
      <c r="H7" s="8">
        <f>IF(Calculator!$B$13="Ticket only",B7,SUM(B7:G7))</f>
        <v>34.89</v>
      </c>
      <c r="I7" s="8">
        <f>ROUND(H7*Calculator!$H$8+Calculator!$H$9*Calculator!$B$6,2)</f>
        <v>3.11</v>
      </c>
      <c r="J7" s="8">
        <f>ROUND(I7*Calculator!$H$12,2)</f>
        <v>0.62</v>
      </c>
      <c r="K7" s="8">
        <f>ROUND((H7+I7+J7)*Calculator!$H$10+Calculator!$H$11*Calculator!$B$6,2)</f>
        <v>2.62</v>
      </c>
      <c r="L7" s="8">
        <f>ROUND(K7*Calculator!$H$12,2)</f>
        <v>0.52</v>
      </c>
      <c r="M7" s="8">
        <f>ROUND(SUM(B7:G7,I7:L7),2)</f>
        <v>41.76</v>
      </c>
      <c r="N7" s="25">
        <f>Calculator!$B$8/Calculator!$B$6</f>
        <v>1</v>
      </c>
      <c r="O7" s="8">
        <f>ROUND(F7*N7,2)</f>
        <v>2.0099999999999998</v>
      </c>
      <c r="P7" s="8">
        <f>ROUND(G7*N7,2)</f>
        <v>0.18</v>
      </c>
      <c r="Q7" s="1"/>
      <c r="R7" s="1"/>
    </row>
    <row r="8" spans="1:18" ht="26" customHeight="1">
      <c r="A8" s="1" t="s">
        <v>39</v>
      </c>
      <c r="B8" s="8">
        <f>Calculator!$B$5*Calculator!$B$6</f>
        <v>20</v>
      </c>
      <c r="C8" s="8">
        <f>Calculator!$B$9*Calculator!$B$6</f>
        <v>10</v>
      </c>
      <c r="D8" s="8">
        <f>ROUND(B8*Calculator!$H$5,2)</f>
        <v>1.8</v>
      </c>
      <c r="E8" s="8">
        <f>ROUND(C8*Calculator!$H$5,2)</f>
        <v>0.9</v>
      </c>
      <c r="F8" s="8">
        <f>ROUND((Calculator!$B$5*Calculator!$H$6+Calculator!$H$7)*Calculator!$B$6,2)</f>
        <v>2.0099999999999998</v>
      </c>
      <c r="G8" s="8">
        <f>ROUND(F8*Calculator!$H$5,2)</f>
        <v>0.18</v>
      </c>
      <c r="H8" s="8">
        <f>IF(Calculator!$B$13="Ticket only",B8,SUM(B8:G8))</f>
        <v>34.89</v>
      </c>
      <c r="I8" s="8">
        <f>ROUND(H8*Calculator!$H$8+Calculator!$H$9*Calculator!$B$6,2)</f>
        <v>3.11</v>
      </c>
      <c r="J8" s="8">
        <f>ROUND(I8*Calculator!$H$12,2)</f>
        <v>0.62</v>
      </c>
      <c r="K8" s="8">
        <f>ROUND((H8+I8+J8)*Calculator!$H$10+Calculator!$H$11*Calculator!$B$6,2)</f>
        <v>2.62</v>
      </c>
      <c r="L8" s="8">
        <f>ROUND(K8*Calculator!$H$12,2)</f>
        <v>0.52</v>
      </c>
      <c r="M8" s="8">
        <f>ROUND(SUM(B8:G8,I8:L8),2)</f>
        <v>41.76</v>
      </c>
      <c r="N8" s="25">
        <f>Calculator!$B$8/Calculator!$B$6</f>
        <v>1</v>
      </c>
      <c r="O8" s="8">
        <f>ROUND(F8*N8,2)</f>
        <v>2.0099999999999998</v>
      </c>
      <c r="P8" s="8">
        <f>ROUND(G8*N8,2)</f>
        <v>0.18</v>
      </c>
      <c r="Q8" s="1"/>
      <c r="R8" s="1"/>
    </row>
    <row r="9" spans="1:18" ht="26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6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6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34" customHeight="1">
      <c r="A12" s="6" t="s">
        <v>47</v>
      </c>
      <c r="B12" s="6" t="s">
        <v>25</v>
      </c>
      <c r="C12" s="6" t="s">
        <v>62</v>
      </c>
      <c r="D12" s="6" t="s">
        <v>63</v>
      </c>
      <c r="E12" s="6" t="s">
        <v>64</v>
      </c>
      <c r="F12" s="6" t="s">
        <v>65</v>
      </c>
      <c r="G12" s="6" t="s">
        <v>66</v>
      </c>
      <c r="H12" s="6" t="s">
        <v>67</v>
      </c>
      <c r="I12" s="6" t="s">
        <v>68</v>
      </c>
      <c r="J12" s="6" t="s">
        <v>69</v>
      </c>
      <c r="K12" s="6" t="s">
        <v>70</v>
      </c>
      <c r="L12" s="6" t="s">
        <v>71</v>
      </c>
      <c r="M12" s="6" t="s">
        <v>72</v>
      </c>
      <c r="N12" s="6" t="s">
        <v>73</v>
      </c>
      <c r="O12" s="6" t="s">
        <v>74</v>
      </c>
      <c r="P12" s="6" t="s">
        <v>75</v>
      </c>
      <c r="Q12" s="1"/>
      <c r="R12" s="1"/>
    </row>
    <row r="13" spans="1:18" ht="26" customHeight="1">
      <c r="A13" s="1" t="s">
        <v>24</v>
      </c>
      <c r="B13" s="1" t="s">
        <v>30</v>
      </c>
      <c r="C13" s="8">
        <f>ROUND(0,2)</f>
        <v>0</v>
      </c>
      <c r="D13" s="8">
        <f>IF(C6=0,0,ROUND(E6*C13/C6,2))</f>
        <v>0</v>
      </c>
      <c r="E13" s="8">
        <f>ROUND(B6*N6,2)+ROUND(D6*N6,2)</f>
        <v>21.8</v>
      </c>
      <c r="F13" s="8">
        <f>ROUND(I6*N6,2)+ROUND(J6*N6,2)</f>
        <v>3.73</v>
      </c>
      <c r="G13" s="8">
        <f>ROUND(K6*N6,2)+ROUND(L6*N6,2)</f>
        <v>3.14</v>
      </c>
      <c r="H13" s="8">
        <f>SUM(O6:P6)</f>
        <v>2.19</v>
      </c>
      <c r="I13" s="8">
        <f t="shared" ref="I13:I27" si="0">ROUND(SUM(C13:E13),2)</f>
        <v>21.8</v>
      </c>
      <c r="J13" s="8">
        <f t="shared" ref="J13:J27" si="1">ROUND(I13+F13,2)</f>
        <v>25.53</v>
      </c>
      <c r="K13" s="8">
        <f t="shared" ref="K13:K27" si="2">ROUND(I13+G13,2)</f>
        <v>24.94</v>
      </c>
      <c r="L13" s="8">
        <f t="shared" ref="L13:L27" si="3">ROUND(SUM(I13,F13,G13),2)</f>
        <v>28.67</v>
      </c>
      <c r="M13" s="8">
        <f>ROUND(C6-C13,2)</f>
        <v>10</v>
      </c>
      <c r="N13" s="8">
        <f>ROUND(E6-D13,2)</f>
        <v>0.9</v>
      </c>
      <c r="O13" s="8">
        <f t="shared" ref="O13:O27" si="4">ROUND(SUM(F13:H13),2)</f>
        <v>9.06</v>
      </c>
      <c r="P13" s="8">
        <f>P6</f>
        <v>0.18</v>
      </c>
      <c r="Q13" s="1"/>
      <c r="R13" s="1"/>
    </row>
    <row r="14" spans="1:18" ht="26" customHeight="1">
      <c r="A14" s="1" t="s">
        <v>24</v>
      </c>
      <c r="B14" s="1" t="s">
        <v>31</v>
      </c>
      <c r="C14" s="8">
        <f>ROUND(IF(Calculator!$B$8=Calculator!$B$6,C6,0),2)</f>
        <v>10</v>
      </c>
      <c r="D14" s="8">
        <f>IF(C6=0,0,ROUND(E6*C14/C6,2))</f>
        <v>0.9</v>
      </c>
      <c r="E14" s="8">
        <f>ROUND(B6*N6,2)+ROUND(D6*N6,2)</f>
        <v>21.8</v>
      </c>
      <c r="F14" s="8">
        <f>ROUND(I6*N6,2)+ROUND(J6*N6,2)</f>
        <v>3.73</v>
      </c>
      <c r="G14" s="8">
        <f>ROUND(K6*N6,2)+ROUND(L6*N6,2)</f>
        <v>3.14</v>
      </c>
      <c r="H14" s="8">
        <f>SUM(O6:P6)</f>
        <v>2.19</v>
      </c>
      <c r="I14" s="8">
        <f t="shared" si="0"/>
        <v>32.700000000000003</v>
      </c>
      <c r="J14" s="8">
        <f t="shared" si="1"/>
        <v>36.43</v>
      </c>
      <c r="K14" s="8">
        <f t="shared" si="2"/>
        <v>35.840000000000003</v>
      </c>
      <c r="L14" s="8">
        <f t="shared" si="3"/>
        <v>39.57</v>
      </c>
      <c r="M14" s="8">
        <f>ROUND(C6-C14,2)</f>
        <v>0</v>
      </c>
      <c r="N14" s="8">
        <f>ROUND(E6-D14,2)</f>
        <v>0</v>
      </c>
      <c r="O14" s="8">
        <f t="shared" si="4"/>
        <v>9.06</v>
      </c>
      <c r="P14" s="8">
        <f>P6</f>
        <v>0.18</v>
      </c>
      <c r="Q14" s="1"/>
      <c r="R14" s="1"/>
    </row>
    <row r="15" spans="1:18" ht="26" customHeight="1">
      <c r="A15" s="1" t="s">
        <v>24</v>
      </c>
      <c r="B15" s="1" t="s">
        <v>32</v>
      </c>
      <c r="C15" s="8">
        <f>ROUND(C6*N6,2)</f>
        <v>10</v>
      </c>
      <c r="D15" s="8">
        <f>IF(C6=0,0,ROUND(E6*C15/C6,2))</f>
        <v>0.9</v>
      </c>
      <c r="E15" s="8">
        <f>ROUND(B6*N6,2)+ROUND(D6*N6,2)</f>
        <v>21.8</v>
      </c>
      <c r="F15" s="8">
        <f>ROUND(I6*N6,2)+ROUND(J6*N6,2)</f>
        <v>3.73</v>
      </c>
      <c r="G15" s="8">
        <f>ROUND(K6*N6,2)+ROUND(L6*N6,2)</f>
        <v>3.14</v>
      </c>
      <c r="H15" s="8">
        <f>SUM(O6:P6)</f>
        <v>2.19</v>
      </c>
      <c r="I15" s="8">
        <f t="shared" si="0"/>
        <v>32.700000000000003</v>
      </c>
      <c r="J15" s="8">
        <f t="shared" si="1"/>
        <v>36.43</v>
      </c>
      <c r="K15" s="8">
        <f t="shared" si="2"/>
        <v>35.840000000000003</v>
      </c>
      <c r="L15" s="8">
        <f t="shared" si="3"/>
        <v>39.57</v>
      </c>
      <c r="M15" s="8">
        <f>ROUND(C6-C15,2)</f>
        <v>0</v>
      </c>
      <c r="N15" s="8">
        <f>ROUND(E6-D15,2)</f>
        <v>0</v>
      </c>
      <c r="O15" s="8">
        <f t="shared" si="4"/>
        <v>9.06</v>
      </c>
      <c r="P15" s="8">
        <f>P6</f>
        <v>0.18</v>
      </c>
      <c r="Q15" s="1"/>
      <c r="R15" s="1"/>
    </row>
    <row r="16" spans="1:18" ht="26" customHeight="1">
      <c r="A16" s="1" t="s">
        <v>24</v>
      </c>
      <c r="B16" s="1" t="s">
        <v>33</v>
      </c>
      <c r="C16" s="8">
        <f>ROUND(C6*N6,2)</f>
        <v>10</v>
      </c>
      <c r="D16" s="8">
        <f>IF(C6=0,0,ROUND(E6*C16/C6,2))</f>
        <v>0.9</v>
      </c>
      <c r="E16" s="8">
        <f>ROUND(B6*N6,2)+ROUND(D6*N6,2)</f>
        <v>21.8</v>
      </c>
      <c r="F16" s="8">
        <f>ROUND(I6*N6,2)+ROUND(J6*N6,2)</f>
        <v>3.73</v>
      </c>
      <c r="G16" s="8">
        <f>ROUND(K6*N6,2)+ROUND(L6*N6,2)</f>
        <v>3.14</v>
      </c>
      <c r="H16" s="8">
        <f>SUM(O6:P6)</f>
        <v>2.19</v>
      </c>
      <c r="I16" s="8">
        <f t="shared" si="0"/>
        <v>32.700000000000003</v>
      </c>
      <c r="J16" s="8">
        <f t="shared" si="1"/>
        <v>36.43</v>
      </c>
      <c r="K16" s="8">
        <f t="shared" si="2"/>
        <v>35.840000000000003</v>
      </c>
      <c r="L16" s="8">
        <f t="shared" si="3"/>
        <v>39.57</v>
      </c>
      <c r="M16" s="8">
        <f>ROUND(C6-C16,2)</f>
        <v>0</v>
      </c>
      <c r="N16" s="8">
        <f>ROUND(E6-D16,2)</f>
        <v>0</v>
      </c>
      <c r="O16" s="8">
        <f t="shared" si="4"/>
        <v>9.06</v>
      </c>
      <c r="P16" s="8">
        <f>P6</f>
        <v>0.18</v>
      </c>
      <c r="Q16" s="1"/>
      <c r="R16" s="1"/>
    </row>
    <row r="17" spans="1:18" ht="26" customHeight="1">
      <c r="A17" s="1" t="s">
        <v>24</v>
      </c>
      <c r="B17" s="1" t="s">
        <v>34</v>
      </c>
      <c r="C17" s="8">
        <f>ROUND(0,2)</f>
        <v>0</v>
      </c>
      <c r="D17" s="8">
        <f>IF(C6=0,0,ROUND(E6*C17/C6,2))</f>
        <v>0</v>
      </c>
      <c r="E17" s="8">
        <f>ROUND(B6*N6,2)+ROUND(D6*N6,2)</f>
        <v>21.8</v>
      </c>
      <c r="F17" s="8">
        <f>ROUND(I6*N6,2)+ROUND(J6*N6,2)</f>
        <v>3.73</v>
      </c>
      <c r="G17" s="8">
        <f>ROUND(K6*N6,2)+ROUND(L6*N6,2)</f>
        <v>3.14</v>
      </c>
      <c r="H17" s="8">
        <f>SUM(O6:P6)</f>
        <v>2.19</v>
      </c>
      <c r="I17" s="8">
        <f t="shared" si="0"/>
        <v>21.8</v>
      </c>
      <c r="J17" s="8">
        <f t="shared" si="1"/>
        <v>25.53</v>
      </c>
      <c r="K17" s="8">
        <f t="shared" si="2"/>
        <v>24.94</v>
      </c>
      <c r="L17" s="8">
        <f t="shared" si="3"/>
        <v>28.67</v>
      </c>
      <c r="M17" s="8">
        <f>ROUND(C6-C17,2)</f>
        <v>10</v>
      </c>
      <c r="N17" s="8">
        <f>ROUND(E6-D17,2)</f>
        <v>0.9</v>
      </c>
      <c r="O17" s="8">
        <f t="shared" si="4"/>
        <v>9.06</v>
      </c>
      <c r="P17" s="8">
        <f>P6</f>
        <v>0.18</v>
      </c>
      <c r="Q17" s="1"/>
      <c r="R17" s="1"/>
    </row>
    <row r="18" spans="1:18" ht="26" customHeight="1">
      <c r="A18" s="1" t="s">
        <v>38</v>
      </c>
      <c r="B18" s="1" t="s">
        <v>30</v>
      </c>
      <c r="C18" s="8">
        <f>ROUND(0,2)</f>
        <v>0</v>
      </c>
      <c r="D18" s="8">
        <f>IF(C7=0,0,ROUND(E7*C18/C7,2))</f>
        <v>0</v>
      </c>
      <c r="E18" s="8">
        <f>ROUND(B7*N7,2)+ROUND(D7*N7,2)</f>
        <v>21.8</v>
      </c>
      <c r="F18" s="8">
        <f>ROUND(I7*N7,2)+ROUND(J7*N7,2)</f>
        <v>3.73</v>
      </c>
      <c r="G18" s="8">
        <f>ROUND(K7*N7,2)+ROUND(L7*N7,2)</f>
        <v>3.14</v>
      </c>
      <c r="H18" s="8">
        <f>SUM(O7:P7)</f>
        <v>2.19</v>
      </c>
      <c r="I18" s="8">
        <f t="shared" si="0"/>
        <v>21.8</v>
      </c>
      <c r="J18" s="8">
        <f t="shared" si="1"/>
        <v>25.53</v>
      </c>
      <c r="K18" s="8">
        <f t="shared" si="2"/>
        <v>24.94</v>
      </c>
      <c r="L18" s="8">
        <f t="shared" si="3"/>
        <v>28.67</v>
      </c>
      <c r="M18" s="8">
        <f>ROUND(C7-C18,2)</f>
        <v>10</v>
      </c>
      <c r="N18" s="8">
        <f>ROUND(E7-D18,2)</f>
        <v>0.9</v>
      </c>
      <c r="O18" s="8">
        <f t="shared" si="4"/>
        <v>9.06</v>
      </c>
      <c r="P18" s="8">
        <f>P7</f>
        <v>0.18</v>
      </c>
      <c r="Q18" s="1"/>
      <c r="R18" s="1"/>
    </row>
    <row r="19" spans="1:18" ht="26" customHeight="1">
      <c r="A19" s="1" t="s">
        <v>38</v>
      </c>
      <c r="B19" s="1" t="s">
        <v>31</v>
      </c>
      <c r="C19" s="8">
        <f>ROUND(MIN(C7,INT(Calculator!$B$8/(Calculator!$B$6/Calculator!$B$7))*Calculator!$B$9),2)</f>
        <v>10</v>
      </c>
      <c r="D19" s="8">
        <f>IF(C7=0,0,ROUND(E7*C19/C7,2))</f>
        <v>0.9</v>
      </c>
      <c r="E19" s="8">
        <f>ROUND(B7*N7,2)+ROUND(D7*N7,2)</f>
        <v>21.8</v>
      </c>
      <c r="F19" s="8">
        <f>ROUND(I7*N7,2)+ROUND(J7*N7,2)</f>
        <v>3.73</v>
      </c>
      <c r="G19" s="8">
        <f>ROUND(K7*N7,2)+ROUND(L7*N7,2)</f>
        <v>3.14</v>
      </c>
      <c r="H19" s="8">
        <f>SUM(O7:P7)</f>
        <v>2.19</v>
      </c>
      <c r="I19" s="8">
        <f t="shared" si="0"/>
        <v>32.700000000000003</v>
      </c>
      <c r="J19" s="8">
        <f t="shared" si="1"/>
        <v>36.43</v>
      </c>
      <c r="K19" s="8">
        <f t="shared" si="2"/>
        <v>35.840000000000003</v>
      </c>
      <c r="L19" s="8">
        <f t="shared" si="3"/>
        <v>39.57</v>
      </c>
      <c r="M19" s="8">
        <f>ROUND(C7-C19,2)</f>
        <v>0</v>
      </c>
      <c r="N19" s="8">
        <f>ROUND(E7-D19,2)</f>
        <v>0</v>
      </c>
      <c r="O19" s="8">
        <f t="shared" si="4"/>
        <v>9.06</v>
      </c>
      <c r="P19" s="8">
        <f>P7</f>
        <v>0.18</v>
      </c>
      <c r="Q19" s="1"/>
      <c r="R19" s="1"/>
    </row>
    <row r="20" spans="1:18" ht="26" customHeight="1">
      <c r="A20" s="1" t="s">
        <v>38</v>
      </c>
      <c r="B20" s="1" t="s">
        <v>32</v>
      </c>
      <c r="C20" s="8">
        <f>ROUND(C7*N7,2)</f>
        <v>10</v>
      </c>
      <c r="D20" s="8">
        <f>IF(C7=0,0,ROUND(E7*C20/C7,2))</f>
        <v>0.9</v>
      </c>
      <c r="E20" s="8">
        <f>ROUND(B7*N7,2)+ROUND(D7*N7,2)</f>
        <v>21.8</v>
      </c>
      <c r="F20" s="8">
        <f>ROUND(I7*N7,2)+ROUND(J7*N7,2)</f>
        <v>3.73</v>
      </c>
      <c r="G20" s="8">
        <f>ROUND(K7*N7,2)+ROUND(L7*N7,2)</f>
        <v>3.14</v>
      </c>
      <c r="H20" s="8">
        <f>SUM(O7:P7)</f>
        <v>2.19</v>
      </c>
      <c r="I20" s="8">
        <f t="shared" si="0"/>
        <v>32.700000000000003</v>
      </c>
      <c r="J20" s="8">
        <f t="shared" si="1"/>
        <v>36.43</v>
      </c>
      <c r="K20" s="8">
        <f t="shared" si="2"/>
        <v>35.840000000000003</v>
      </c>
      <c r="L20" s="8">
        <f t="shared" si="3"/>
        <v>39.57</v>
      </c>
      <c r="M20" s="8">
        <f>ROUND(C7-C20,2)</f>
        <v>0</v>
      </c>
      <c r="N20" s="8">
        <f>ROUND(E7-D20,2)</f>
        <v>0</v>
      </c>
      <c r="O20" s="8">
        <f t="shared" si="4"/>
        <v>9.06</v>
      </c>
      <c r="P20" s="8">
        <f>P7</f>
        <v>0.18</v>
      </c>
      <c r="Q20" s="1"/>
      <c r="R20" s="1"/>
    </row>
    <row r="21" spans="1:18" ht="26" customHeight="1">
      <c r="A21" s="1" t="s">
        <v>38</v>
      </c>
      <c r="B21" s="1" t="s">
        <v>33</v>
      </c>
      <c r="C21" s="8">
        <f>ROUND(C7*N7,2)</f>
        <v>10</v>
      </c>
      <c r="D21" s="8">
        <f>IF(C7=0,0,ROUND(E7*C21/C7,2))</f>
        <v>0.9</v>
      </c>
      <c r="E21" s="8">
        <f>ROUND(B7*N7,2)+ROUND(D7*N7,2)</f>
        <v>21.8</v>
      </c>
      <c r="F21" s="8">
        <f>ROUND(I7*N7,2)+ROUND(J7*N7,2)</f>
        <v>3.73</v>
      </c>
      <c r="G21" s="8">
        <f>ROUND(K7*N7,2)+ROUND(L7*N7,2)</f>
        <v>3.14</v>
      </c>
      <c r="H21" s="8">
        <f>SUM(O7:P7)</f>
        <v>2.19</v>
      </c>
      <c r="I21" s="8">
        <f t="shared" si="0"/>
        <v>32.700000000000003</v>
      </c>
      <c r="J21" s="8">
        <f t="shared" si="1"/>
        <v>36.43</v>
      </c>
      <c r="K21" s="8">
        <f t="shared" si="2"/>
        <v>35.840000000000003</v>
      </c>
      <c r="L21" s="8">
        <f t="shared" si="3"/>
        <v>39.57</v>
      </c>
      <c r="M21" s="8">
        <f>ROUND(C7-C21,2)</f>
        <v>0</v>
      </c>
      <c r="N21" s="8">
        <f>ROUND(E7-D21,2)</f>
        <v>0</v>
      </c>
      <c r="O21" s="8">
        <f t="shared" si="4"/>
        <v>9.06</v>
      </c>
      <c r="P21" s="8">
        <f>P7</f>
        <v>0.18</v>
      </c>
      <c r="Q21" s="1"/>
      <c r="R21" s="1"/>
    </row>
    <row r="22" spans="1:18" ht="26" customHeight="1">
      <c r="A22" s="1" t="s">
        <v>38</v>
      </c>
      <c r="B22" s="1" t="s">
        <v>34</v>
      </c>
      <c r="C22" s="8">
        <f>ROUND(0,2)</f>
        <v>0</v>
      </c>
      <c r="D22" s="8">
        <f>IF(C7=0,0,ROUND(E7*C22/C7,2))</f>
        <v>0</v>
      </c>
      <c r="E22" s="8">
        <f>ROUND(B7*N7,2)+ROUND(D7*N7,2)</f>
        <v>21.8</v>
      </c>
      <c r="F22" s="8">
        <f>ROUND(I7*N7,2)+ROUND(J7*N7,2)</f>
        <v>3.73</v>
      </c>
      <c r="G22" s="8">
        <f>ROUND(K7*N7,2)+ROUND(L7*N7,2)</f>
        <v>3.14</v>
      </c>
      <c r="H22" s="8">
        <f>SUM(O7:P7)</f>
        <v>2.19</v>
      </c>
      <c r="I22" s="8">
        <f t="shared" si="0"/>
        <v>21.8</v>
      </c>
      <c r="J22" s="8">
        <f t="shared" si="1"/>
        <v>25.53</v>
      </c>
      <c r="K22" s="8">
        <f t="shared" si="2"/>
        <v>24.94</v>
      </c>
      <c r="L22" s="8">
        <f t="shared" si="3"/>
        <v>28.67</v>
      </c>
      <c r="M22" s="8">
        <f>ROUND(C7-C22,2)</f>
        <v>10</v>
      </c>
      <c r="N22" s="8">
        <f>ROUND(E7-D22,2)</f>
        <v>0.9</v>
      </c>
      <c r="O22" s="8">
        <f t="shared" si="4"/>
        <v>9.06</v>
      </c>
      <c r="P22" s="8">
        <f>P7</f>
        <v>0.18</v>
      </c>
      <c r="Q22" s="1"/>
      <c r="R22" s="1"/>
    </row>
    <row r="23" spans="1:18" ht="26" customHeight="1">
      <c r="A23" s="1" t="s">
        <v>39</v>
      </c>
      <c r="B23" s="1" t="s">
        <v>30</v>
      </c>
      <c r="C23" s="8">
        <f>ROUND(0,2)</f>
        <v>0</v>
      </c>
      <c r="D23" s="8">
        <f>IF(C8=0,0,ROUND(E8*C23/C8,2))</f>
        <v>0</v>
      </c>
      <c r="E23" s="8">
        <f>ROUND(B8*N8,2)+ROUND(D8*N8,2)</f>
        <v>21.8</v>
      </c>
      <c r="F23" s="8">
        <f>ROUND(I8*N8,2)+ROUND(J8*N8,2)</f>
        <v>3.73</v>
      </c>
      <c r="G23" s="8">
        <f>ROUND(K8*N8,2)+ROUND(L8*N8,2)</f>
        <v>3.14</v>
      </c>
      <c r="H23" s="8">
        <f>SUM(O8:P8)</f>
        <v>2.19</v>
      </c>
      <c r="I23" s="8">
        <f t="shared" si="0"/>
        <v>21.8</v>
      </c>
      <c r="J23" s="8">
        <f t="shared" si="1"/>
        <v>25.53</v>
      </c>
      <c r="K23" s="8">
        <f t="shared" si="2"/>
        <v>24.94</v>
      </c>
      <c r="L23" s="8">
        <f t="shared" si="3"/>
        <v>28.67</v>
      </c>
      <c r="M23" s="8">
        <f>ROUND(C8-C23,2)</f>
        <v>10</v>
      </c>
      <c r="N23" s="8">
        <f>ROUND(E8-D23,2)</f>
        <v>0.9</v>
      </c>
      <c r="O23" s="8">
        <f t="shared" si="4"/>
        <v>9.06</v>
      </c>
      <c r="P23" s="8">
        <f>P8</f>
        <v>0.18</v>
      </c>
      <c r="Q23" s="1"/>
      <c r="R23" s="1"/>
    </row>
    <row r="24" spans="1:18" ht="26" customHeight="1">
      <c r="A24" s="1" t="s">
        <v>39</v>
      </c>
      <c r="B24" s="1" t="s">
        <v>31</v>
      </c>
      <c r="C24" s="8">
        <f>ROUND(MIN(C8,INT(Calculator!$B$8/(Calculator!$B$6/Calculator!$B$7))*Calculator!$B$9*(Calculator!$B$6/Calculator!$B$7)),2)</f>
        <v>10</v>
      </c>
      <c r="D24" s="8">
        <f>IF(C8=0,0,ROUND(E8*C24/C8,2))</f>
        <v>0.9</v>
      </c>
      <c r="E24" s="8">
        <f>ROUND(B8*N8,2)+ROUND(D8*N8,2)</f>
        <v>21.8</v>
      </c>
      <c r="F24" s="8">
        <f>ROUND(I8*N8,2)+ROUND(J8*N8,2)</f>
        <v>3.73</v>
      </c>
      <c r="G24" s="8">
        <f>ROUND(K8*N8,2)+ROUND(L8*N8,2)</f>
        <v>3.14</v>
      </c>
      <c r="H24" s="8">
        <f>SUM(O8:P8)</f>
        <v>2.19</v>
      </c>
      <c r="I24" s="8">
        <f t="shared" si="0"/>
        <v>32.700000000000003</v>
      </c>
      <c r="J24" s="8">
        <f t="shared" si="1"/>
        <v>36.43</v>
      </c>
      <c r="K24" s="8">
        <f t="shared" si="2"/>
        <v>35.840000000000003</v>
      </c>
      <c r="L24" s="8">
        <f t="shared" si="3"/>
        <v>39.57</v>
      </c>
      <c r="M24" s="8">
        <f>ROUND(C8-C24,2)</f>
        <v>0</v>
      </c>
      <c r="N24" s="8">
        <f>ROUND(E8-D24,2)</f>
        <v>0</v>
      </c>
      <c r="O24" s="8">
        <f t="shared" si="4"/>
        <v>9.06</v>
      </c>
      <c r="P24" s="8">
        <f>P8</f>
        <v>0.18</v>
      </c>
      <c r="Q24" s="1"/>
      <c r="R24" s="1"/>
    </row>
    <row r="25" spans="1:18" ht="26" customHeight="1">
      <c r="A25" s="1" t="s">
        <v>39</v>
      </c>
      <c r="B25" s="1" t="s">
        <v>32</v>
      </c>
      <c r="C25" s="8">
        <f>ROUND(C8*N8,2)</f>
        <v>10</v>
      </c>
      <c r="D25" s="8">
        <f>IF(C8=0,0,ROUND(E8*C25/C8,2))</f>
        <v>0.9</v>
      </c>
      <c r="E25" s="8">
        <f>ROUND(B8*N8,2)+ROUND(D8*N8,2)</f>
        <v>21.8</v>
      </c>
      <c r="F25" s="8">
        <f>ROUND(I8*N8,2)+ROUND(J8*N8,2)</f>
        <v>3.73</v>
      </c>
      <c r="G25" s="8">
        <f>ROUND(K8*N8,2)+ROUND(L8*N8,2)</f>
        <v>3.14</v>
      </c>
      <c r="H25" s="8">
        <f>SUM(O8:P8)</f>
        <v>2.19</v>
      </c>
      <c r="I25" s="8">
        <f t="shared" si="0"/>
        <v>32.700000000000003</v>
      </c>
      <c r="J25" s="8">
        <f t="shared" si="1"/>
        <v>36.43</v>
      </c>
      <c r="K25" s="8">
        <f t="shared" si="2"/>
        <v>35.840000000000003</v>
      </c>
      <c r="L25" s="8">
        <f t="shared" si="3"/>
        <v>39.57</v>
      </c>
      <c r="M25" s="8">
        <f>ROUND(C8-C25,2)</f>
        <v>0</v>
      </c>
      <c r="N25" s="8">
        <f>ROUND(E8-D25,2)</f>
        <v>0</v>
      </c>
      <c r="O25" s="8">
        <f t="shared" si="4"/>
        <v>9.06</v>
      </c>
      <c r="P25" s="8">
        <f>P8</f>
        <v>0.18</v>
      </c>
      <c r="Q25" s="1"/>
      <c r="R25" s="1"/>
    </row>
    <row r="26" spans="1:18" ht="26" customHeight="1">
      <c r="A26" s="1" t="s">
        <v>39</v>
      </c>
      <c r="B26" s="1" t="s">
        <v>33</v>
      </c>
      <c r="C26" s="8">
        <f>ROUND(C8*N8,2)</f>
        <v>10</v>
      </c>
      <c r="D26" s="8">
        <f>IF(C8=0,0,ROUND(E8*C26/C8,2))</f>
        <v>0.9</v>
      </c>
      <c r="E26" s="8">
        <f>ROUND(B8*N8,2)+ROUND(D8*N8,2)</f>
        <v>21.8</v>
      </c>
      <c r="F26" s="8">
        <f>ROUND(I8*N8,2)+ROUND(J8*N8,2)</f>
        <v>3.73</v>
      </c>
      <c r="G26" s="8">
        <f>ROUND(K8*N8,2)+ROUND(L8*N8,2)</f>
        <v>3.14</v>
      </c>
      <c r="H26" s="8">
        <f>SUM(O8:P8)</f>
        <v>2.19</v>
      </c>
      <c r="I26" s="8">
        <f t="shared" si="0"/>
        <v>32.700000000000003</v>
      </c>
      <c r="J26" s="8">
        <f t="shared" si="1"/>
        <v>36.43</v>
      </c>
      <c r="K26" s="8">
        <f t="shared" si="2"/>
        <v>35.840000000000003</v>
      </c>
      <c r="L26" s="8">
        <f t="shared" si="3"/>
        <v>39.57</v>
      </c>
      <c r="M26" s="8">
        <f>ROUND(C8-C26,2)</f>
        <v>0</v>
      </c>
      <c r="N26" s="8">
        <f>ROUND(E8-D26,2)</f>
        <v>0</v>
      </c>
      <c r="O26" s="8">
        <f t="shared" si="4"/>
        <v>9.06</v>
      </c>
      <c r="P26" s="8">
        <f>P8</f>
        <v>0.18</v>
      </c>
      <c r="Q26" s="1"/>
      <c r="R26" s="1"/>
    </row>
    <row r="27" spans="1:18" ht="26" customHeight="1">
      <c r="A27" s="1" t="s">
        <v>39</v>
      </c>
      <c r="B27" s="1" t="s">
        <v>34</v>
      </c>
      <c r="C27" s="8">
        <f>ROUND(0,2)</f>
        <v>0</v>
      </c>
      <c r="D27" s="8">
        <f>IF(C8=0,0,ROUND(E8*C27/C8,2))</f>
        <v>0</v>
      </c>
      <c r="E27" s="8">
        <f>ROUND(B8*N8,2)+ROUND(D8*N8,2)</f>
        <v>21.8</v>
      </c>
      <c r="F27" s="8">
        <f>ROUND(I8*N8,2)+ROUND(J8*N8,2)</f>
        <v>3.73</v>
      </c>
      <c r="G27" s="8">
        <f>ROUND(K8*N8,2)+ROUND(L8*N8,2)</f>
        <v>3.14</v>
      </c>
      <c r="H27" s="8">
        <f>SUM(O8:P8)</f>
        <v>2.19</v>
      </c>
      <c r="I27" s="8">
        <f t="shared" si="0"/>
        <v>21.8</v>
      </c>
      <c r="J27" s="8">
        <f t="shared" si="1"/>
        <v>25.53</v>
      </c>
      <c r="K27" s="8">
        <f t="shared" si="2"/>
        <v>24.94</v>
      </c>
      <c r="L27" s="8">
        <f t="shared" si="3"/>
        <v>28.67</v>
      </c>
      <c r="M27" s="8">
        <f>ROUND(C8-C27,2)</f>
        <v>10</v>
      </c>
      <c r="N27" s="8">
        <f>ROUND(E8-D27,2)</f>
        <v>0.9</v>
      </c>
      <c r="O27" s="8">
        <f t="shared" si="4"/>
        <v>9.06</v>
      </c>
      <c r="P27" s="8">
        <f>P8</f>
        <v>0.18</v>
      </c>
      <c r="Q27" s="1"/>
      <c r="R27" s="1"/>
    </row>
    <row r="28" spans="1:18" ht="2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26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6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6" customHeight="1">
      <c r="A31" s="1" t="s">
        <v>76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55" customHeight="1">
      <c r="A33" s="1" t="s">
        <v>49</v>
      </c>
      <c r="B33" s="9" t="s">
        <v>77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55" customHeight="1">
      <c r="A34" s="1" t="s">
        <v>78</v>
      </c>
      <c r="B34" s="9" t="s">
        <v>79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55" customHeight="1">
      <c r="A35" s="1" t="s">
        <v>20</v>
      </c>
      <c r="B35" s="9" t="s">
        <v>80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55" customHeight="1">
      <c r="A36" s="1" t="s">
        <v>81</v>
      </c>
      <c r="B36" s="9" t="s">
        <v>82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55" customHeight="1">
      <c r="A37" s="1" t="s">
        <v>83</v>
      </c>
      <c r="B37" s="9" t="s">
        <v>84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55" customHeight="1">
      <c r="A38" s="1" t="s">
        <v>85</v>
      </c>
      <c r="B38" s="9" t="s">
        <v>86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55" customHeight="1">
      <c r="A39" s="1" t="s">
        <v>32</v>
      </c>
      <c r="B39" s="9" t="s">
        <v>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55" customHeight="1">
      <c r="A40" s="1" t="s">
        <v>88</v>
      </c>
      <c r="B40" s="9" t="s">
        <v>89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55" customHeight="1">
      <c r="A41" s="1" t="s">
        <v>90</v>
      </c>
      <c r="B41" s="9" t="s">
        <v>91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55" customHeight="1">
      <c r="A42" s="1" t="s">
        <v>92</v>
      </c>
      <c r="B42" s="9" t="s">
        <v>93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55" customHeight="1">
      <c r="A43" s="1" t="s">
        <v>94</v>
      </c>
      <c r="B43" s="9" t="s">
        <v>95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26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26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6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26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26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6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6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6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26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26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6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6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6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6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6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6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6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6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6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6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6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6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6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6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6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6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6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6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6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6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6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6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6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6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6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6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6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6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6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6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6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6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6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6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6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6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6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Calculator</vt:lpstr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Sales Team 4</cp:lastModifiedBy>
  <dcterms:modified xsi:type="dcterms:W3CDTF">2026-10-14T04:40:43Z</dcterms:modified>
</cp:coreProperties>
</file>