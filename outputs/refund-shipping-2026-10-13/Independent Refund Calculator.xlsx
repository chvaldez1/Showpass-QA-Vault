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25d86359d11414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lculator" sheetId="1" r:id="R65dd71a3ace24f6d"/>
    <x:sheet xmlns:r="http://schemas.openxmlformats.org/officeDocument/2006/relationships" name="Math" sheetId="2" r:id="R49d3500e2d1943e1"/>
  </x:sheets>
</x:workbook>
</file>

<file path=xl/sharedStrings.xml><?xml version="1.0" encoding="utf-8"?>
<x:sst xmlns:x="http://schemas.openxmlformats.org/spreadsheetml/2006/main">
  <x:si>
    <x:t xml:space="preserve">Independent refund calculator</x:t>
  </x:si>
  <x:si>
    <x:t xml:space="preserve">Ticket price</x:t>
  </x:si>
  <x:si>
    <x:t xml:space="preserve">Enter your price and quantities in yellow.</x:t>
  </x:si>
  <x:si>
    <x:t xml:space="preserve">HST</x:t>
  </x:si>
  <x:si>
    <x:t xml:space="preserve">Total tickets</x:t>
  </x:si>
  <x:si>
    <x:t xml:space="preserve">Groups are equal sized; returns fill group 1 first.</x:t>
  </x:si>
  <x:si>
    <x:t xml:space="preserve">Organizer fee rate</x:t>
  </x:si>
  <x:si>
    <x:t xml:space="preserve">Ticket groups</x:t>
  </x:si>
  <x:si>
    <x:t xml:space="preserve">Organizer fee per ticket</x:t>
  </x:si>
  <x:si>
    <x:t xml:space="preserve">Tickets being returned</x:t>
  </x:si>
  <x:si>
    <x:t xml:space="preserve">Flat rate: one charge. Per group: charge × groups.</x:t>
  </x:si>
  <x:si>
    <x:t xml:space="preserve">Showpass fee rate</x:t>
  </x:si>
  <x:si>
    <x:t xml:space="preserve">Shipping charge</x:t>
  </x:si>
  <x:si>
    <x:t xml:space="preserve">Per item: charge × tickets.</x:t>
  </x:si>
  <x:si>
    <x:t xml:space="preserve">Showpass fee per ticket</x:t>
  </x:si>
  <x:si>
    <x:t xml:space="preserve">Processing fee rate</x:t>
  </x:si>
  <x:si>
    <x:t xml:space="preserve">Processing fee per ticket</x:t>
  </x:si>
  <x:si>
    <x:t xml:space="preserve">VAT on Showpass / processing</x:t>
  </x:si>
  <x:si>
    <x:t xml:space="preserve">Fee base</x:t>
  </x:si>
  <x:si>
    <x:t xml:space="preserve">Ticket + shipping + organizer + HST</x:t>
  </x:si>
  <x:si>
    <x:t xml:space="preserve">Processing base also includes Showpass fee + its VAT.</x:t>
  </x:si>
  <x:si>
    <x:t xml:space="preserve">Flat rate</x:t>
  </x:si>
  <x:si>
    <x:t xml:space="preserve">Never</x:t>
  </x:si>
  <x:si>
    <x:t xml:space="preserve">After all items returned</x:t>
  </x:si>
  <x:si>
    <x:t xml:space="preserve">Proportional</x:t>
  </x:si>
  <x:si>
    <x:t xml:space="preserve">Unshipped only: not fulfilled</x:t>
  </x:si>
  <x:si>
    <x:t xml:space="preserve">Unshipped only: fulfilled</x:t>
  </x:si>
  <x:si>
    <x:t xml:space="preserve">Per group</x:t>
  </x:si>
  <x:si>
    <x:t xml:space="preserve">Per item</x:t>
  </x:si>
  <x:si>
    <x:t xml:space="preserve">Independent arithmetic</x:t>
  </x:si>
  <x:si>
    <x:t xml:space="preserve">Method</x:t>
  </x:si>
  <x:si>
    <x:t xml:space="preserve">Ticket subtotal</x:t>
  </x:si>
  <x:si>
    <x:t xml:space="preserve">Shipping</x:t>
  </x:si>
  <x:si>
    <x:t xml:space="preserve">Ticket HST</x:t>
  </x:si>
  <x:si>
    <x:t xml:space="preserve">Shipping HST</x:t>
  </x:si>
  <x:si>
    <x:t xml:space="preserve">Organizer fee</x:t>
  </x:si>
  <x:si>
    <x:t xml:space="preserve">Organizer HST</x:t>
  </x:si>
  <x:si>
    <x:t xml:space="preserve">Showpass fee</x:t>
  </x:si>
  <x:si>
    <x:t xml:space="preserve">Showpass VAT</x:t>
  </x:si>
  <x:si>
    <x:t xml:space="preserve">Processing fee</x:t>
  </x:si>
  <x:si>
    <x:t xml:space="preserve">Processing VAT</x:t>
  </x:si>
  <x:si>
    <x:t xml:space="preserve">Purchase total</x:t>
  </x:si>
  <x:si>
    <x:t xml:space="preserve">Selected share</x:t>
  </x:si>
  <x:si>
    <x:t xml:space="preserve">Selected org fee</x:t>
  </x:si>
  <x:si>
    <x:t xml:space="preserve">Selected org HST</x:t>
  </x:si>
  <x:si>
    <x:t xml:space="preserve">Shipping rule</x:t>
  </x:si>
  <x:si>
    <x:t xml:space="preserve">Returned shipping</x:t>
  </x:si>
  <x:si>
    <x:t xml:space="preserve">Returned shipping HST</x:t>
  </x:si>
  <x:si>
    <x:t xml:space="preserve">Ticket + HST</x:t>
  </x:si>
  <x:si>
    <x:t xml:space="preserve">Showpass + VAT</x:t>
  </x:si>
  <x:si>
    <x:t xml:space="preserve">Processing + VAT</x:t>
  </x:si>
  <x:si>
    <x:t xml:space="preserve">Org fee + HST</x:t>
  </x:si>
  <x:si>
    <x:t xml:space="preserve">Shipping withheld</x:t>
  </x:si>
  <x:si>
    <x:t xml:space="preserve">Shipping HST withheld</x:t>
  </x:si>
  <x:si>
    <x:t xml:space="preserve">Selected fees incl. tax</x:t>
  </x:si>
  <x:si>
    <x:t xml:space="preserve">Organizer HST offset</x:t>
  </x:si>
  <x:si>
    <x:t xml:space="preserve">Model assumptions</x:t>
  </x:si>
  <x:si>
    <x:t xml:space="preserve">Flat = one charge; group = charge × groups; item = charge × ticket quantity. Equal-sized groups, same ticket price/rates.</x:t>
  </x:si>
  <x:si>
    <x:t xml:space="preserve">Tax</x:t>
  </x:si>
  <x:si>
    <x:t xml:space="preserve">HST calculated separately on ticket subtotal, shipping, and organizer fee; each rounded to cents at order level.</x:t>
  </x:si>
  <x:si>
    <x:t xml:space="preserve">Choose ticket only, or ticket + shipping + organizer fee + HST on all three. Processing adds Showpass fee and its VAT.</x:t>
  </x:si>
  <x:si>
    <x:t xml:space="preserve">Fee rounding</x:t>
  </x:si>
  <x:si>
    <x:t xml:space="preserve">Percentage + per-ticket fixed fees rounded once on each original order total. Each fee tax is rounded separately.</x:t>
  </x:si>
  <x:si>
    <x:t xml:space="preserve">Refund allocation</x:t>
  </x:si>
  <x:si>
    <x:t xml:space="preserve">First return only. Allocate each original fee/tax by returned-ticket proportion, rounding each component separately.</x:t>
  </x:si>
  <x:si>
    <x:t xml:space="preserve">After all</x:t>
  </x:si>
  <x:si>
    <x:t xml:space="preserve">Flat: return shipping once all tickets return. Group/item: return charges for fully returned groups; group 1 fills first.</x:t>
  </x:si>
  <x:si>
    <x:t xml:space="preserve">Shipping and its tax allocated by number returned / number purchased. Unshipped-only uses same share when unfulfilled.</x:t>
  </x:si>
  <x:si>
    <x:t xml:space="preserve">Organizer fees</x:t>
  </x:si>
  <x:si>
    <x:t xml:space="preserve">Withheld display</x:t>
  </x:si>
  <x:si>
    <x:t xml:space="preserve">Source inputs</x:t>
  </x:si>
  <x:si>
    <x:t xml:space="preserve">Scope</x:t>
  </x:si>
</x:sst>
</file>

<file path=xl/styles.xml><?xml version="1.0" encoding="utf-8"?>
<x:styleSheet xmlns:x="http://schemas.openxmlformats.org/spreadsheetml/2006/main">
  <x:numFmts count="3">
    <x:numFmt numFmtId="164" formatCode="\$0.00"/>
    <x:numFmt numFmtId="165" formatCode="0.0%"/>
    <x:numFmt numFmtId="200" formatCode="&quot;$&quot;#,##0.00"/>
  </x:numFmts>
  <x:fonts count="5">
    <x:font>
      <x:sz val="11"/>
      <x:name val="Carlito"/>
    </x:font>
    <x:font>
      <x:sz val="11"/>
      <x:color rgb="FF253347"/>
      <x:name val="Arial"/>
      <x:family val="2"/>
    </x:font>
    <x:font>
      <x:b/>
      <x:sz val="17"/>
      <x:color rgb="FF24364B"/>
      <x:name val="Arial"/>
      <x:family val="2"/>
    </x:font>
    <x:font>
      <x:b/>
      <x:sz val="11"/>
      <x:color rgb="FFFFFFFF"/>
      <x:name val="Arial"/>
      <x:family val="2"/>
    </x:font>
    <x:font>
      <x:b/>
      <x:sz val="14"/>
      <x:color rgb="FF24364B"/>
      <x:name val="Arial"/>
      <x:family val="2"/>
    </x:font>
  </x:fonts>
  <x:fills count="6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24364B"/>
      </x:patternFill>
    </x:fill>
    <x:fill>
      <x:patternFill patternType="solid">
        <x:fgColor rgb="FFFFF2CC"/>
      </x:patternFill>
    </x:fill>
    <x:fill>
      <x:patternFill patternType="solid">
        <x:fgColor rgb="FFFFFFFF"/>
      </x:patternFill>
    </x:fill>
  </x:fills>
  <x:borders count="10">
    <x:border>
      <x:left/>
      <x:right/>
      <x:top/>
      <x:bottom/>
      <x:diagonal/>
    </x:border>
    <x:border>
      <x:left/>
      <x:right style="thin">
        <x:color rgb="FFE5EAF0"/>
      </x:right>
      <x:top/>
      <x:bottom style="thin">
        <x:color rgb="FFE5EAF0"/>
      </x:bottom>
      <x:diagonal/>
    </x:border>
    <x:border>
      <x:left style="thin">
        <x:color rgb="FFE5EAF0"/>
      </x:left>
      <x:right style="thin">
        <x:color rgb="FFE5EAF0"/>
      </x:right>
      <x:top/>
      <x:bottom style="thin">
        <x:color rgb="FFE5EAF0"/>
      </x:bottom>
      <x:diagonal/>
    </x:border>
    <x:border>
      <x:left style="thin">
        <x:color rgb="FFE5EAF0"/>
      </x:left>
      <x:right/>
      <x:top/>
      <x:bottom style="thin">
        <x:color rgb="FFE5EAF0"/>
      </x:bottom>
      <x:diagonal/>
    </x:border>
    <x:border>
      <x:left/>
      <x:right style="thin">
        <x:color rgb="FFE5EAF0"/>
      </x:right>
      <x:top style="thin">
        <x:color rgb="FFE5EAF0"/>
      </x:top>
      <x:bottom style="thin">
        <x:color rgb="FFE5EAF0"/>
      </x:bottom>
      <x:diagonal/>
    </x:border>
    <x:border>
      <x:left style="thin">
        <x:color rgb="FFE5EAF0"/>
      </x:left>
      <x:right style="thin">
        <x:color rgb="FFE5EAF0"/>
      </x:right>
      <x:top style="thin">
        <x:color rgb="FFE5EAF0"/>
      </x:top>
      <x:bottom style="thin">
        <x:color rgb="FFE5EAF0"/>
      </x:bottom>
      <x:diagonal/>
    </x:border>
    <x:border>
      <x:left style="thin">
        <x:color rgb="FFE5EAF0"/>
      </x:left>
      <x:right/>
      <x:top style="thin">
        <x:color rgb="FFE5EAF0"/>
      </x:top>
      <x:bottom style="thin">
        <x:color rgb="FFE5EAF0"/>
      </x:bottom>
      <x:diagonal/>
    </x:border>
    <x:border>
      <x:left/>
      <x:right style="thin">
        <x:color rgb="FFE5EAF0"/>
      </x:right>
      <x:top style="thin">
        <x:color rgb="FFE5EAF0"/>
      </x:top>
      <x:bottom/>
      <x:diagonal/>
    </x:border>
    <x:border>
      <x:left style="thin">
        <x:color rgb="FFE5EAF0"/>
      </x:left>
      <x:right style="thin">
        <x:color rgb="FFE5EAF0"/>
      </x:right>
      <x:top style="thin">
        <x:color rgb="FFE5EAF0"/>
      </x:top>
      <x:bottom/>
      <x:diagonal/>
    </x:border>
    <x:border>
      <x:left style="thin">
        <x:color rgb="FFE5EAF0"/>
      </x:left>
      <x:right/>
      <x:top style="thin">
        <x:color rgb="FFE5EAF0"/>
      </x:top>
      <x:bottom/>
      <x:diagonal/>
    </x:border>
  </x:borders>
  <x:cellStyleXfs count="1">
    <x:xf numFmtId="0" fontId="0" fillId="0" borderId="0"/>
  </x:cellStyleXfs>
  <x:cellXfs count="38">
    <x:xf numFmtId="0" fontId="0" fillId="0" borderId="0" xfId="0"/>
    <x:xf numFmtId="0" fontId="1" fillId="0" borderId="0" xfId="0" applyFont="1"/>
    <x:xf numFmtId="0" fontId="2" fillId="0" borderId="0" xfId="0" applyFont="1"/>
    <x:xf numFmtId="0" fontId="1" fillId="2" borderId="0" xfId="0" applyFont="1" applyFill="1"/>
    <x:xf numFmtId="164" fontId="1" fillId="2" borderId="0" xfId="0" applyNumberFormat="1" applyFont="1" applyFill="1"/>
    <x:xf numFmtId="10" fontId="1" fillId="2" borderId="0" xfId="0" applyNumberFormat="1" applyFont="1" applyFill="1"/>
    <x:xf numFmtId="0" fontId="3" fillId="3" borderId="0" xfId="0" applyFont="1" applyFill="1" applyAlignment="1">
      <x:alignment vertical="center" wrapText="1"/>
    </x:xf>
    <x:xf numFmtId="0" fontId="4" fillId="0" borderId="0" xfId="0" applyFont="1"/>
    <x:xf numFmtId="164" fontId="1" fillId="0" borderId="0" xfId="0" applyNumberFormat="1" applyFont="1"/>
    <x:xf numFmtId="0" fontId="1" fillId="0" borderId="0" xfId="0" applyFont="1" applyAlignment="1">
      <x:alignment wrapText="1"/>
    </x:xf>
    <x:xf numFmtId="0" fontId="1" fillId="0" borderId="2" xfId="0" applyFont="1" applyBorder="1" applyAlignment="1">
      <x:alignment horizontal="right"/>
    </x:xf>
    <x:xf numFmtId="0" fontId="1" fillId="0" borderId="3" xfId="0" applyFont="1" applyBorder="1" applyAlignment="1">
      <x:alignment horizontal="right"/>
    </x:xf>
    <x:xf numFmtId="0" fontId="1" fillId="0" borderId="5" xfId="0" applyFont="1" applyBorder="1" applyAlignment="1">
      <x:alignment horizontal="right"/>
    </x:xf>
    <x:xf numFmtId="0" fontId="1" fillId="0" borderId="6" xfId="0" applyFont="1" applyBorder="1" applyAlignment="1">
      <x:alignment horizontal="right"/>
    </x:xf>
    <x:xf numFmtId="0" fontId="1" fillId="0" borderId="8" xfId="0" applyFont="1" applyBorder="1" applyAlignment="1">
      <x:alignment horizontal="right"/>
    </x:xf>
    <x:xf numFmtId="0" fontId="1" fillId="0" borderId="9" xfId="0" applyFont="1" applyBorder="1" applyAlignment="1">
      <x:alignment horizontal="right"/>
    </x:xf>
    <x:xf numFmtId="0" fontId="1" fillId="0" borderId="0" xfId="0" applyFont="1" applyAlignment="1">
      <x:alignment horizontal="right"/>
    </x:xf>
    <x:xf numFmtId="164" fontId="1" fillId="0" borderId="0" xfId="0" applyNumberFormat="1" applyFont="1" applyAlignment="1">
      <x:alignment horizontal="right"/>
    </x:xf>
    <x:xf numFmtId="164" fontId="1" fillId="2" borderId="0" xfId="0" applyNumberFormat="1" applyFont="1" applyFill="1" applyAlignment="1">
      <x:alignment horizontal="right"/>
    </x:xf>
    <x:xf numFmtId="0" fontId="3" fillId="3" borderId="0" xfId="0" applyFont="1" applyFill="1" applyAlignment="1">
      <x:alignment horizontal="right" vertical="center" wrapText="1"/>
    </x:xf>
    <x:xf numFmtId="0" fontId="1" fillId="0" borderId="1" xfId="0" applyFont="1" applyBorder="1" applyAlignment="1">
      <x:alignment wrapText="1"/>
    </x:xf>
    <x:xf numFmtId="0" fontId="1" fillId="0" borderId="4" xfId="0" applyFont="1" applyBorder="1" applyAlignment="1">
      <x:alignment wrapText="1"/>
    </x:xf>
    <x:xf numFmtId="0" fontId="1" fillId="0" borderId="7" xfId="0" applyFont="1" applyBorder="1" applyAlignment="1">
      <x:alignment wrapText="1"/>
    </x:xf>
    <x:xf numFmtId="0" fontId="1" fillId="2" borderId="0" xfId="0" applyFont="1" applyFill="1" applyAlignment="1">
      <x:alignment wrapText="1"/>
    </x:xf>
    <x:xf numFmtId="0" fontId="4" fillId="0" borderId="0" xfId="0" applyFont="1" applyAlignment="1">
      <x:alignment wrapText="1"/>
    </x:xf>
    <x:xf numFmtId="165" fontId="1" fillId="0" borderId="0" xfId="0" applyNumberFormat="1" applyFont="1"/>
    <x:xf numFmtId="0" fontId="1" fillId="2" borderId="0" xfId="0" applyFont="1" applyFill="1"/>
    <x:xf numFmtId="0" fontId="1" fillId="4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 wrapText="1"/>
    </x:xf>
    <x:xf numFmtId="200" fontId="1" fillId="0" borderId="2" xfId="0" applyNumberFormat="1" applyFont="1" applyFill="1" applyBorder="1" applyAlignment="1">
      <x:alignment horizontal="right"/>
    </x:xf>
    <x:xf numFmtId="200" fontId="1" fillId="0" borderId="3" xfId="0" applyNumberFormat="1" applyFont="1" applyFill="1" applyBorder="1" applyAlignment="1">
      <x:alignment horizontal="right"/>
    </x:xf>
    <x:xf numFmtId="200" fontId="1" fillId="0" borderId="5" xfId="0" applyNumberFormat="1" applyFont="1" applyFill="1" applyBorder="1" applyAlignment="1">
      <x:alignment horizontal="right"/>
    </x:xf>
    <x:xf numFmtId="200" fontId="1" fillId="0" borderId="6" xfId="0" applyNumberFormat="1" applyFont="1" applyFill="1" applyBorder="1" applyAlignment="1">
      <x:alignment horizontal="right"/>
    </x:xf>
    <x:xf numFmtId="200" fontId="1" fillId="0" borderId="8" xfId="0" applyNumberFormat="1" applyFont="1" applyFill="1" applyBorder="1" applyAlignment="1">
      <x:alignment horizontal="right"/>
    </x:xf>
    <x:xf numFmtId="200" fontId="1" fillId="0" borderId="9" xfId="0" applyNumberFormat="1" applyFont="1" applyFill="1" applyBorder="1" applyAlignment="1">
      <x:alignment horizontal="right"/>
    </x:xf>
    <x:xf numFmtId="0" fontId="1" fillId="5" borderId="0" xfId="0" applyNumberFormat="1" applyFont="1" applyFill="1" applyBorder="1" applyAlignment="1">
      <x:alignment wrapText="1"/>
    </x:xf>
    <x:xf numFmtId="164" fontId="1" fillId="5" borderId="0" xfId="0" applyNumberFormat="1" applyFont="1" applyFill="1" applyBorder="1" applyAlignment="1">
      <x:alignment horizontal="right"/>
    </x:xf>
    <x:xf numFmtId="0" fontId="3" fillId="3" borderId="0" xfId="0" applyNumberFormat="1" applyFont="1" applyFill="1" applyBorder="1" applyAlignment="1">
      <x:alignment horizontal="right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fedaea455e14b91" /><Relationship Type="http://schemas.openxmlformats.org/officeDocument/2006/relationships/theme" Target="/xl/theme/theme1.xml" Id="Rfd17a323b4444731" /><Relationship Type="http://schemas.openxmlformats.org/officeDocument/2006/relationships/sharedStrings" Target="/xl/sharedStrings.xml" Id="Rd14b219499fb4de1" /><Relationship Type="http://schemas.openxmlformats.org/officeDocument/2006/relationships/worksheet" Target="/xl/worksheets/sheet1.xml" Id="R65dd71a3ace24f6d" /><Relationship Type="http://schemas.openxmlformats.org/officeDocument/2006/relationships/worksheet" Target="/xl/worksheets/sheet2.xml" Id="R49d3500e2d1943e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5"/>
  <x:cols>
    <x:col min="1" max="1" width="38" customWidth="1"/>
    <x:col min="2" max="5" width="28" customWidth="1"/>
    <x:col min="6" max="6" width="3" customWidth="1"/>
    <x:col min="7" max="7" width="30" customWidth="1"/>
    <x:col min="8" max="8" width="16" customWidth="1"/>
  </x:cols>
  <x:sheetData>
    <x:row r="1" ht="26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</x:row>
    <x:row r="2" ht="26" customHeight="1">
      <x:c r="A2" s="2" t="s">
        <x:v>0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</x:row>
    <x:row r="3" ht="26" customHeight="1">
      <x:c r="A3" s="1" t="str">
        <x:v>Expected customer refund (CAD). Columns use the current Automated return refund type choices.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</x:row>
    <x:row r="4" ht="26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</x:row>
    <x:row r="5" ht="26" customHeight="1">
      <x:c r="A5" s="1" t="s">
        <x:v>1</x:v>
      </x:c>
      <x:c r="B5" s="4">
        <x:v>20</x:v>
      </x:c>
      <x:c r="C5" s="1"/>
      <x:c r="D5" s="1" t="s">
        <x:v>2</x:v>
      </x:c>
      <x:c r="E5" s="1"/>
      <x:c r="F5" s="1"/>
      <x:c r="G5" s="1" t="s">
        <x:v>3</x:v>
      </x:c>
      <x:c r="H5" s="5">
        <x:v>0.09</x:v>
      </x:c>
      <x:c r="I5" s="1"/>
      <x:c r="J5" s="1"/>
      <x:c r="K5" s="1"/>
      <x:c r="L5" s="1"/>
      <x:c r="M5" s="1"/>
      <x:c r="N5" s="1"/>
      <x:c r="O5" s="1"/>
      <x:c r="P5" s="1"/>
      <x:c r="Q5" s="1"/>
      <x:c r="R5" s="1"/>
    </x:row>
    <x:row r="6" ht="26" customHeight="1">
      <x:c r="A6" s="1" t="s">
        <x:v>4</x:v>
      </x:c>
      <x:c r="B6" s="3" t="n">
        <x:v>1</x:v>
      </x:c>
      <x:c r="C6" s="1"/>
      <x:c r="D6" s="1" t="s">
        <x:v>5</x:v>
      </x:c>
      <x:c r="E6" s="1"/>
      <x:c r="F6" s="1"/>
      <x:c r="G6" s="1" t="s">
        <x:v>6</x:v>
      </x:c>
      <x:c r="H6" s="5">
        <x:v>6.7000000000000004E-2</x:v>
      </x:c>
      <x:c r="I6" s="1"/>
      <x:c r="J6" s="1"/>
      <x:c r="K6" s="1"/>
      <x:c r="L6" s="1"/>
      <x:c r="M6" s="1"/>
      <x:c r="N6" s="1"/>
      <x:c r="O6" s="1"/>
      <x:c r="P6" s="1"/>
      <x:c r="Q6" s="1"/>
      <x:c r="R6" s="1"/>
    </x:row>
    <x:row r="7" ht="26" customHeight="1">
      <x:c r="A7" s="1" t="s">
        <x:v>7</x:v>
      </x:c>
      <x:c r="B7" s="3" t="n">
        <x:v>1</x:v>
      </x:c>
      <x:c r="C7" s="1"/>
      <x:c r="D7" s="1" t="str">
        <x:v>First return only. Select tickets from group 1 onward.</x:v>
      </x:c>
      <x:c r="E7" s="1"/>
      <x:c r="F7" s="1"/>
      <x:c r="G7" s="1" t="s">
        <x:v>8</x:v>
      </x:c>
      <x:c r="H7" s="4">
        <x:v>0.67</x:v>
      </x:c>
      <x:c r="I7" s="1"/>
      <x:c r="J7" s="1"/>
      <x:c r="K7" s="1"/>
      <x:c r="L7" s="1"/>
      <x:c r="M7" s="1"/>
      <x:c r="N7" s="1"/>
      <x:c r="O7" s="1"/>
      <x:c r="P7" s="1"/>
      <x:c r="Q7" s="1"/>
      <x:c r="R7" s="1"/>
    </x:row>
    <x:row r="8" ht="26" customHeight="1">
      <x:c r="A8" s="1" t="s">
        <x:v>9</x:v>
      </x:c>
      <x:c r="B8" s="3" t="n">
        <x:v>1</x:v>
      </x:c>
      <x:c r="C8" s="1"/>
      <x:c r="D8" s="1" t="s">
        <x:v>10</x:v>
      </x:c>
      <x:c r="E8" s="1"/>
      <x:c r="F8" s="1"/>
      <x:c r="G8" s="1" t="s">
        <x:v>11</x:v>
      </x:c>
      <x:c r="H8" s="5">
        <x:v>7.0000000000000007E-2</x:v>
      </x:c>
      <x:c r="I8" s="1"/>
      <x:c r="J8" s="1"/>
      <x:c r="K8" s="1"/>
      <x:c r="L8" s="1"/>
      <x:c r="M8" s="1"/>
      <x:c r="N8" s="1"/>
      <x:c r="O8" s="1"/>
      <x:c r="P8" s="1"/>
      <x:c r="Q8" s="1"/>
      <x:c r="R8" s="1"/>
    </x:row>
    <x:row r="9" ht="26" customHeight="1">
      <x:c r="A9" s="1" t="s">
        <x:v>12</x:v>
      </x:c>
      <x:c r="B9" s="4">
        <x:v>10</x:v>
      </x:c>
      <x:c r="C9" s="1"/>
      <x:c r="D9" s="1" t="s">
        <x:v>13</x:v>
      </x:c>
      <x:c r="E9" s="1"/>
      <x:c r="F9" s="1"/>
      <x:c r="G9" s="1" t="s">
        <x:v>14</x:v>
      </x:c>
      <x:c r="H9" s="4">
        <x:v>0.67</x:v>
      </x:c>
      <x:c r="I9" s="1"/>
      <x:c r="J9" s="1"/>
      <x:c r="K9" s="1"/>
      <x:c r="L9" s="1"/>
      <x:c r="M9" s="1"/>
      <x:c r="N9" s="1"/>
      <x:c r="O9" s="1"/>
      <x:c r="P9" s="1"/>
      <x:c r="Q9" s="1"/>
      <x:c r="R9" s="1"/>
    </x:row>
    <x:row r="10" ht="26" customHeight="1">
      <x:c r="A10" s="1"/>
      <x:c r="B10" s="1"/>
      <x:c r="C10" s="1"/>
      <x:c r="D10" s="1"/>
      <x:c r="E10" s="1"/>
      <x:c r="F10" s="1"/>
      <x:c r="G10" s="1" t="s">
        <x:v>15</x:v>
      </x:c>
      <x:c r="H10" s="5">
        <x:v>0.05</x:v>
      </x:c>
      <x:c r="I10" s="1"/>
      <x:c r="J10" s="1"/>
      <x:c r="K10" s="1"/>
      <x:c r="L10" s="1"/>
      <x:c r="M10" s="1"/>
      <x:c r="N10" s="1"/>
      <x:c r="O10" s="1"/>
      <x:c r="P10" s="1"/>
      <x:c r="Q10" s="1"/>
      <x:c r="R10" s="1"/>
    </x:row>
    <x:row r="11" ht="26" customHeight="1">
      <x:c r="A11" s="1" t="str">
        <x:f>IF(AND(COUNT(B5:B9)=5,B5&gt;=0,B6&gt;=1,B6=INT(B6),B7&gt;=1,B7=INT(B7),B7&lt;=B6,MOD(B6,B7)=0,B8&gt;=1,B8&lt;=B6,B8=INT(B8),B9&gt;=0),"Ready","Check quantities: equal-sized groups; return 1 to total tickets.")</x:f>
        <x:v>Ready</x:v>
      </x:c>
      <x:c r="B11" s="1"/>
      <x:c r="C11" s="1"/>
      <x:c r="D11" s="1"/>
      <x:c r="E11" s="1"/>
      <x:c r="F11" s="1"/>
      <x:c r="G11" s="1" t="s">
        <x:v>16</x:v>
      </x:c>
      <x:c r="H11" s="4">
        <x:v>0.69</x:v>
      </x:c>
      <x:c r="I11" s="1"/>
      <x:c r="J11" s="1"/>
      <x:c r="K11" s="1"/>
      <x:c r="L11" s="1"/>
      <x:c r="M11" s="1"/>
      <x:c r="N11" s="1"/>
      <x:c r="O11" s="1"/>
      <x:c r="P11" s="1"/>
      <x:c r="Q11" s="1"/>
      <x:c r="R11" s="1"/>
    </x:row>
    <x:row r="12" ht="26" customHeight="1">
      <x:c r="A12" s="1"/>
      <x:c r="B12" s="1"/>
      <x:c r="C12" s="1"/>
      <x:c r="D12" s="1"/>
      <x:c r="E12" s="1"/>
      <x:c r="F12" s="1"/>
      <x:c r="G12" s="1" t="s">
        <x:v>17</x:v>
      </x:c>
      <x:c r="H12" s="5">
        <x:v>0.2</x:v>
      </x:c>
      <x:c r="I12" s="1"/>
      <x:c r="J12" s="1"/>
      <x:c r="K12" s="1"/>
      <x:c r="L12" s="1"/>
      <x:c r="M12" s="1"/>
      <x:c r="N12" s="1"/>
      <x:c r="O12" s="1"/>
      <x:c r="P12" s="1"/>
      <x:c r="Q12" s="1"/>
      <x:c r="R12" s="1"/>
    </x:row>
    <x:row r="13" ht="26" customHeight="1">
      <x:c r="A13" s="1" t="s">
        <x:v>18</x:v>
      </x:c>
      <x:c r="B13" s="26" t="s">
        <x:v>19</x:v>
      </x:c>
      <x:c r="C13" s="26"/>
      <x:c r="D13" s="1" t="s">
        <x:v>20</x:v>
      </x:c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</x:row>
    <x:row r="14" ht="26" customHeight="1">
      <x:c r="A14" s="1"/>
      <x:c r="B14" s="1"/>
      <x:c r="C14" s="1"/>
      <x:c r="D14" s="1"/>
      <x:c r="E14" s="1"/>
      <x:c r="F14" s="1"/>
      <x:c r="G14" s="1" t="str">
        <x:v>Rates from original purchase example.</x:v>
      </x:c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</x:row>
    <x:row r="15" ht="26" customHeight="1">
      <x:c r="A15" s="1" t="str">
        <x:v>Automated return medium</x:v>
      </x:c>
      <x:c r="B15" s="27" t="str">
        <x:v>Organizer Credit</x:v>
      </x:c>
      <x:c r="C15" s="1"/>
      <x:c r="D15" s="1" t="str">
        <x:f>IF(B15="Organizer Credit","Destination: spending credit with this organization","Destination: original card for this card-only example")</x:f>
        <x:v>Destination: spending credit with this organization</x:v>
      </x:c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</x:row>
    <x:row r="16" ht="26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</x:row>
    <x:row r="17" ht="26" customHeight="1">
      <x:c r="A17" s="7" t="s">
        <x:v>21</x:v>
      </x:c>
      <x:c r="B17" s="1"/>
      <x:c r="C17" s="1"/>
      <x:c r="D17" s="1" t="str">
        <x:f>"Purchase total: "&amp;TEXT(Math!M6,"$0.00")</x:f>
        <x:v>Purchase total: $41.76</x:v>
      </x:c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</x:row>
    <x:row r="18" ht="52" customHeight="1">
      <x:c r="A18" s="28" t="str">
        <x:v>Shipping refund rule</x:v>
      </x:c>
      <x:c r="B18" s="28" t="str">
        <x:v>Base refund</x:v>
      </x:c>
      <x:c r="C18" s="28" t="str">
        <x:v>Full refund excluding Showpass fees</x:v>
      </x:c>
      <x:c r="D18" s="28" t="str">
        <x:v>Full refund (Showpass fees invoiced)</x:v>
      </x:c>
      <x:c r="E18" s="28" t="str">
        <x:v>Shipping + tax returned</x:v>
      </x:c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</x:row>
    <x:row r="19" ht="29" customHeight="1">
      <x:c r="A19" s="20" t="s">
        <x:v>22</x:v>
      </x:c>
      <x:c r="B19" s="29" t="n">
        <x:f>IF($A$11="Ready",'Math'!I13,"Check inputs")</x:f>
        <x:v>21.8</x:v>
      </x:c>
      <x:c r="C19" s="29" t="n">
        <x:f>IF($A$11="Ready",'Math'!J13,"Check inputs")</x:f>
        <x:v>23.99</x:v>
      </x:c>
      <x:c r="D19" s="29" t="n">
        <x:f>IF($A$11="Ready",'Math'!K13,"Check inputs")</x:f>
        <x:v>30.86</x:v>
      </x:c>
      <x:c r="E19" s="30" t="n">
        <x:f>IF($A$11="Ready",'Math'!L13,"Check inputs")</x:f>
        <x:v>0</x:v>
      </x:c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</x:row>
    <x:row r="20" ht="29" customHeight="1">
      <x:c r="A20" s="21" t="s">
        <x:v>23</x:v>
      </x:c>
      <x:c r="B20" s="31" t="n">
        <x:f>IF($A$11="Ready",'Math'!I14,"Check inputs")</x:f>
        <x:v>32.7</x:v>
      </x:c>
      <x:c r="C20" s="31" t="n">
        <x:f>IF($A$11="Ready",'Math'!J14,"Check inputs")</x:f>
        <x:v>34.89</x:v>
      </x:c>
      <x:c r="D20" s="31" t="n">
        <x:f>IF($A$11="Ready",'Math'!K14,"Check inputs")</x:f>
        <x:v>41.76</x:v>
      </x:c>
      <x:c r="E20" s="32" t="n">
        <x:f>IF($A$11="Ready",'Math'!L14,"Check inputs")</x:f>
        <x:v>10.9</x:v>
      </x:c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</x:row>
    <x:row r="21" ht="29" customHeight="1">
      <x:c r="A21" s="21" t="s">
        <x:v>24</x:v>
      </x:c>
      <x:c r="B21" s="31" t="n">
        <x:f>IF($A$11="Ready",'Math'!I15,"Check inputs")</x:f>
        <x:v>32.7</x:v>
      </x:c>
      <x:c r="C21" s="31" t="n">
        <x:f>IF($A$11="Ready",'Math'!J15,"Check inputs")</x:f>
        <x:v>34.89</x:v>
      </x:c>
      <x:c r="D21" s="31" t="n">
        <x:f>IF($A$11="Ready",'Math'!K15,"Check inputs")</x:f>
        <x:v>41.76</x:v>
      </x:c>
      <x:c r="E21" s="32" t="n">
        <x:f>IF($A$11="Ready",'Math'!L15,"Check inputs")</x:f>
        <x:v>10.9</x:v>
      </x:c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</x:row>
    <x:row r="22" ht="29" customHeight="1">
      <x:c r="A22" s="21" t="s">
        <x:v>25</x:v>
      </x:c>
      <x:c r="B22" s="31" t="n">
        <x:f>IF($A$11="Ready",'Math'!I16,"Check inputs")</x:f>
        <x:v>32.7</x:v>
      </x:c>
      <x:c r="C22" s="31" t="n">
        <x:f>IF($A$11="Ready",'Math'!J16,"Check inputs")</x:f>
        <x:v>34.89</x:v>
      </x:c>
      <x:c r="D22" s="31" t="n">
        <x:f>IF($A$11="Ready",'Math'!K16,"Check inputs")</x:f>
        <x:v>41.76</x:v>
      </x:c>
      <x:c r="E22" s="32" t="n">
        <x:f>IF($A$11="Ready",'Math'!L16,"Check inputs")</x:f>
        <x:v>10.9</x:v>
      </x:c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</x:row>
    <x:row r="23" ht="29" customHeight="1">
      <x:c r="A23" s="22" t="s">
        <x:v>26</x:v>
      </x:c>
      <x:c r="B23" s="33" t="n">
        <x:f>IF($A$11="Ready",'Math'!I17,"Check inputs")</x:f>
        <x:v>21.8</x:v>
      </x:c>
      <x:c r="C23" s="33" t="n">
        <x:f>IF($A$11="Ready",'Math'!J17,"Check inputs")</x:f>
        <x:v>23.99</x:v>
      </x:c>
      <x:c r="D23" s="33" t="n">
        <x:f>IF($A$11="Ready",'Math'!K17,"Check inputs")</x:f>
        <x:v>30.86</x:v>
      </x:c>
      <x:c r="E23" s="34" t="n">
        <x:f>IF($A$11="Ready",'Math'!L17,"Check inputs")</x:f>
        <x:v>0</x:v>
      </x:c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</x:row>
    <x:row r="24" ht="29" customHeight="1">
      <x:c r="A24" s="9"/>
      <x:c r="B24" s="16"/>
      <x:c r="C24" s="16"/>
      <x:c r="D24" s="16"/>
      <x:c r="E24" s="16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</x:row>
    <x:row r="25" ht="29" customHeight="1">
      <x:c r="A25" s="9" t="str">
        <x:v>Customer-paid fees withheld</x:v>
      </x:c>
      <x:c r="B25" s="17" t="n">
        <x:f>ROUND(SUM(Math!F13:H13),2)</x:f>
        <x:v>9.06</x:v>
      </x:c>
      <x:c r="C25" s="17" t="n">
        <x:f>ROUND(SUM(Math!F13:G13),2)</x:f>
        <x:v>6.87</x:v>
      </x:c>
      <x:c r="D25" s="17" t="n">
        <x:v>0</x:v>
      </x:c>
      <x:c r="E25" s="17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</x:row>
    <x:row r="26" ht="29" customHeight="1">
      <x:c r="A26" s="9" t="str">
        <x:v>Organizer fee tax refunded</x:v>
      </x:c>
      <x:c r="B26" s="17" t="n">
        <x:v>0</x:v>
      </x:c>
      <x:c r="C26" s="17" t="n">
        <x:f>Math!P13</x:f>
        <x:v>0.18</x:v>
      </x:c>
      <x:c r="D26" s="17" t="n">
        <x:f>Math!P13</x:f>
        <x:v>0.18</x:v>
      </x:c>
      <x:c r="E26" s="17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</x:row>
    <x:row r="27" ht="29" customHeight="1">
      <x:c r="A27" s="35"/>
      <x:c r="B27" s="36"/>
      <x:c r="C27" s="36"/>
      <x:c r="D27" s="36"/>
      <x:c r="E27" s="36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</x:row>
    <x:row r="28" ht="26" customHeight="1">
      <x:c r="A28" s="9"/>
      <x:c r="B28" s="16"/>
      <x:c r="C28" s="16"/>
      <x:c r="D28" s="16"/>
      <x:c r="E28" s="16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</x:row>
    <x:row r="29" ht="26" customHeight="1">
      <x:c r="A29" s="9"/>
      <x:c r="B29" s="16"/>
      <x:c r="C29" s="16"/>
      <x:c r="D29" s="16"/>
      <x:c r="E29" s="16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</x:row>
    <x:row r="30" ht="26" customHeight="1">
      <x:c r="A30" s="9"/>
      <x:c r="B30" s="16"/>
      <x:c r="C30" s="16"/>
      <x:c r="D30" s="16"/>
      <x:c r="E30" s="16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</x:row>
    <x:row r="31" ht="26" customHeight="1">
      <x:c r="A31" s="9"/>
      <x:c r="B31" s="16"/>
      <x:c r="C31" s="16"/>
      <x:c r="D31" s="16"/>
      <x:c r="E31" s="16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</x:row>
    <x:row r="32" ht="26" customHeight="1">
      <x:c r="A32" s="24" t="s">
        <x:v>27</x:v>
      </x:c>
      <x:c r="B32" s="16"/>
      <x:c r="C32" s="16"/>
      <x:c r="D32" s="16" t="str">
        <x:f>"Purchase total: "&amp;TEXT(Math!M7,"$0.00")</x:f>
        <x:v>Purchase total: $41.76</x:v>
      </x:c>
      <x:c r="E32" s="16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</x:row>
    <x:row r="33" ht="52" customHeight="1">
      <x:c r="A33" s="28" t="str">
        <x:v>Shipping refund rule</x:v>
      </x:c>
      <x:c r="B33" s="37" t="str">
        <x:v>Base refund</x:v>
      </x:c>
      <x:c r="C33" s="37" t="str">
        <x:v>Full refund excluding Showpass fees</x:v>
      </x:c>
      <x:c r="D33" s="37" t="str">
        <x:v>Full refund (Showpass fees invoiced)</x:v>
      </x:c>
      <x:c r="E33" s="37" t="str">
        <x:v>Shipping + tax returned</x:v>
      </x:c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</x:row>
    <x:row r="34" ht="29" customHeight="1">
      <x:c r="A34" s="20" t="s">
        <x:v>22</x:v>
      </x:c>
      <x:c r="B34" s="29" t="n">
        <x:f>IF($A$11="Ready",'Math'!I18,"Check inputs")</x:f>
        <x:v>21.8</x:v>
      </x:c>
      <x:c r="C34" s="29" t="n">
        <x:f>IF($A$11="Ready",'Math'!J18,"Check inputs")</x:f>
        <x:v>23.99</x:v>
      </x:c>
      <x:c r="D34" s="29" t="n">
        <x:f>IF($A$11="Ready",'Math'!K18,"Check inputs")</x:f>
        <x:v>30.86</x:v>
      </x:c>
      <x:c r="E34" s="30" t="n">
        <x:f>IF($A$11="Ready",'Math'!L18,"Check inputs")</x:f>
        <x:v>0</x:v>
      </x:c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</x:row>
    <x:row r="35" ht="29" customHeight="1">
      <x:c r="A35" s="21" t="s">
        <x:v>23</x:v>
      </x:c>
      <x:c r="B35" s="31" t="n">
        <x:f>IF($A$11="Ready",'Math'!I19,"Check inputs")</x:f>
        <x:v>32.7</x:v>
      </x:c>
      <x:c r="C35" s="31" t="n">
        <x:f>IF($A$11="Ready",'Math'!J19,"Check inputs")</x:f>
        <x:v>34.89</x:v>
      </x:c>
      <x:c r="D35" s="31" t="n">
        <x:f>IF($A$11="Ready",'Math'!K19,"Check inputs")</x:f>
        <x:v>41.76</x:v>
      </x:c>
      <x:c r="E35" s="32" t="n">
        <x:f>IF($A$11="Ready",'Math'!L19,"Check inputs")</x:f>
        <x:v>10.9</x:v>
      </x:c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</x:row>
    <x:row r="36" ht="29" customHeight="1">
      <x:c r="A36" s="21" t="s">
        <x:v>24</x:v>
      </x:c>
      <x:c r="B36" s="31" t="n">
        <x:f>IF($A$11="Ready",'Math'!I20,"Check inputs")</x:f>
        <x:v>32.7</x:v>
      </x:c>
      <x:c r="C36" s="31" t="n">
        <x:f>IF($A$11="Ready",'Math'!J20,"Check inputs")</x:f>
        <x:v>34.89</x:v>
      </x:c>
      <x:c r="D36" s="31" t="n">
        <x:f>IF($A$11="Ready",'Math'!K20,"Check inputs")</x:f>
        <x:v>41.76</x:v>
      </x:c>
      <x:c r="E36" s="32" t="n">
        <x:f>IF($A$11="Ready",'Math'!L20,"Check inputs")</x:f>
        <x:v>10.9</x:v>
      </x:c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</x:row>
    <x:row r="37" ht="29" customHeight="1">
      <x:c r="A37" s="21" t="s">
        <x:v>25</x:v>
      </x:c>
      <x:c r="B37" s="31" t="n">
        <x:f>IF($A$11="Ready",'Math'!I21,"Check inputs")</x:f>
        <x:v>32.7</x:v>
      </x:c>
      <x:c r="C37" s="31" t="n">
        <x:f>IF($A$11="Ready",'Math'!J21,"Check inputs")</x:f>
        <x:v>34.89</x:v>
      </x:c>
      <x:c r="D37" s="31" t="n">
        <x:f>IF($A$11="Ready",'Math'!K21,"Check inputs")</x:f>
        <x:v>41.76</x:v>
      </x:c>
      <x:c r="E37" s="32" t="n">
        <x:f>IF($A$11="Ready",'Math'!L21,"Check inputs")</x:f>
        <x:v>10.9</x:v>
      </x:c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</x:row>
    <x:row r="38" ht="29" customHeight="1">
      <x:c r="A38" s="22" t="s">
        <x:v>26</x:v>
      </x:c>
      <x:c r="B38" s="33" t="n">
        <x:f>IF($A$11="Ready",'Math'!I22,"Check inputs")</x:f>
        <x:v>21.8</x:v>
      </x:c>
      <x:c r="C38" s="33" t="n">
        <x:f>IF($A$11="Ready",'Math'!J22,"Check inputs")</x:f>
        <x:v>23.99</x:v>
      </x:c>
      <x:c r="D38" s="33" t="n">
        <x:f>IF($A$11="Ready",'Math'!K22,"Check inputs")</x:f>
        <x:v>30.86</x:v>
      </x:c>
      <x:c r="E38" s="34" t="n">
        <x:f>IF($A$11="Ready",'Math'!L22,"Check inputs")</x:f>
        <x:v>0</x:v>
      </x:c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</x:row>
    <x:row r="39" ht="29" customHeight="1">
      <x:c r="A39" s="9"/>
      <x:c r="B39" s="16"/>
      <x:c r="C39" s="16"/>
      <x:c r="D39" s="16"/>
      <x:c r="E39" s="16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</x:row>
    <x:row r="40" ht="29" customHeight="1">
      <x:c r="A40" s="9" t="str">
        <x:v>Customer-paid fees withheld</x:v>
      </x:c>
      <x:c r="B40" s="17" t="n">
        <x:f>ROUND(SUM(Math!F18:H18),2)</x:f>
        <x:v>9.06</x:v>
      </x:c>
      <x:c r="C40" s="17" t="n">
        <x:f>ROUND(SUM(Math!F18:G18),2)</x:f>
        <x:v>6.87</x:v>
      </x:c>
      <x:c r="D40" s="17" t="n">
        <x:v>0</x:v>
      </x:c>
      <x:c r="E40" s="17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</x:row>
    <x:row r="41" ht="29" customHeight="1">
      <x:c r="A41" s="9" t="str">
        <x:v>Organizer fee tax refunded</x:v>
      </x:c>
      <x:c r="B41" s="17" t="n">
        <x:v>0</x:v>
      </x:c>
      <x:c r="C41" s="17" t="n">
        <x:f>Math!P18</x:f>
        <x:v>0.18</x:v>
      </x:c>
      <x:c r="D41" s="17" t="n">
        <x:f>Math!P18</x:f>
        <x:v>0.18</x:v>
      </x:c>
      <x:c r="E41" s="17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</x:row>
    <x:row r="42" ht="29" customHeight="1">
      <x:c r="A42" s="35"/>
      <x:c r="B42" s="36"/>
      <x:c r="C42" s="36"/>
      <x:c r="D42" s="36"/>
      <x:c r="E42" s="36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</x:row>
    <x:row r="43" ht="26" customHeight="1">
      <x:c r="A43" s="9"/>
      <x:c r="B43" s="16"/>
      <x:c r="C43" s="16"/>
      <x:c r="D43" s="16"/>
      <x:c r="E43" s="16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</x:row>
    <x:row r="44" ht="26" customHeight="1">
      <x:c r="A44" s="9"/>
      <x:c r="B44" s="16"/>
      <x:c r="C44" s="16"/>
      <x:c r="D44" s="16"/>
      <x:c r="E44" s="16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</x:row>
    <x:row r="45" ht="26" customHeight="1">
      <x:c r="A45" s="9"/>
      <x:c r="B45" s="16"/>
      <x:c r="C45" s="16"/>
      <x:c r="D45" s="16"/>
      <x:c r="E45" s="16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</x:row>
    <x:row r="46" ht="26" customHeight="1">
      <x:c r="A46" s="9"/>
      <x:c r="B46" s="16"/>
      <x:c r="C46" s="16"/>
      <x:c r="D46" s="16"/>
      <x:c r="E46" s="16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</x:row>
    <x:row r="47" ht="26" customHeight="1">
      <x:c r="A47" s="24" t="s">
        <x:v>28</x:v>
      </x:c>
      <x:c r="B47" s="16"/>
      <x:c r="C47" s="16"/>
      <x:c r="D47" s="16" t="str">
        <x:f>"Purchase total: "&amp;TEXT(Math!M8,"$0.00")</x:f>
        <x:v>Purchase total: $41.76</x:v>
      </x:c>
      <x:c r="E47" s="16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</x:row>
    <x:row r="48" ht="52" customHeight="1">
      <x:c r="A48" s="28" t="str">
        <x:v>Shipping refund rule</x:v>
      </x:c>
      <x:c r="B48" s="37" t="str">
        <x:v>Base refund</x:v>
      </x:c>
      <x:c r="C48" s="37" t="str">
        <x:v>Full refund excluding Showpass fees</x:v>
      </x:c>
      <x:c r="D48" s="37" t="str">
        <x:v>Full refund (Showpass fees invoiced)</x:v>
      </x:c>
      <x:c r="E48" s="37" t="str">
        <x:v>Shipping + tax returned</x:v>
      </x:c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</x:row>
    <x:row r="49" ht="29" customHeight="1">
      <x:c r="A49" s="20" t="s">
        <x:v>22</x:v>
      </x:c>
      <x:c r="B49" s="29" t="n">
        <x:f>IF($A$11="Ready",'Math'!I23,"Check inputs")</x:f>
        <x:v>21.8</x:v>
      </x:c>
      <x:c r="C49" s="29" t="n">
        <x:f>IF($A$11="Ready",'Math'!J23,"Check inputs")</x:f>
        <x:v>23.99</x:v>
      </x:c>
      <x:c r="D49" s="29" t="n">
        <x:f>IF($A$11="Ready",'Math'!K23,"Check inputs")</x:f>
        <x:v>30.86</x:v>
      </x:c>
      <x:c r="E49" s="30" t="n">
        <x:f>IF($A$11="Ready",'Math'!L23,"Check inputs")</x:f>
        <x:v>0</x:v>
      </x:c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</x:row>
    <x:row r="50" ht="29" customHeight="1">
      <x:c r="A50" s="21" t="s">
        <x:v>23</x:v>
      </x:c>
      <x:c r="B50" s="31" t="n">
        <x:f>IF($A$11="Ready",'Math'!I24,"Check inputs")</x:f>
        <x:v>32.7</x:v>
      </x:c>
      <x:c r="C50" s="31" t="n">
        <x:f>IF($A$11="Ready",'Math'!J24,"Check inputs")</x:f>
        <x:v>34.89</x:v>
      </x:c>
      <x:c r="D50" s="31" t="n">
        <x:f>IF($A$11="Ready",'Math'!K24,"Check inputs")</x:f>
        <x:v>41.76</x:v>
      </x:c>
      <x:c r="E50" s="32" t="n">
        <x:f>IF($A$11="Ready",'Math'!L24,"Check inputs")</x:f>
        <x:v>10.9</x:v>
      </x:c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</x:row>
    <x:row r="51" ht="29" customHeight="1">
      <x:c r="A51" s="21" t="s">
        <x:v>24</x:v>
      </x:c>
      <x:c r="B51" s="31" t="n">
        <x:f>IF($A$11="Ready",'Math'!I25,"Check inputs")</x:f>
        <x:v>32.7</x:v>
      </x:c>
      <x:c r="C51" s="31" t="n">
        <x:f>IF($A$11="Ready",'Math'!J25,"Check inputs")</x:f>
        <x:v>34.89</x:v>
      </x:c>
      <x:c r="D51" s="31" t="n">
        <x:f>IF($A$11="Ready",'Math'!K25,"Check inputs")</x:f>
        <x:v>41.76</x:v>
      </x:c>
      <x:c r="E51" s="32" t="n">
        <x:f>IF($A$11="Ready",'Math'!L25,"Check inputs")</x:f>
        <x:v>10.9</x:v>
      </x:c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</x:row>
    <x:row r="52" ht="29" customHeight="1">
      <x:c r="A52" s="21" t="s">
        <x:v>25</x:v>
      </x:c>
      <x:c r="B52" s="31" t="n">
        <x:f>IF($A$11="Ready",'Math'!I26,"Check inputs")</x:f>
        <x:v>32.7</x:v>
      </x:c>
      <x:c r="C52" s="31" t="n">
        <x:f>IF($A$11="Ready",'Math'!J26,"Check inputs")</x:f>
        <x:v>34.89</x:v>
      </x:c>
      <x:c r="D52" s="31" t="n">
        <x:f>IF($A$11="Ready",'Math'!K26,"Check inputs")</x:f>
        <x:v>41.76</x:v>
      </x:c>
      <x:c r="E52" s="32" t="n">
        <x:f>IF($A$11="Ready",'Math'!L26,"Check inputs")</x:f>
        <x:v>10.9</x:v>
      </x:c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</x:row>
    <x:row r="53" ht="29" customHeight="1">
      <x:c r="A53" s="22" t="s">
        <x:v>26</x:v>
      </x:c>
      <x:c r="B53" s="33" t="n">
        <x:f>IF($A$11="Ready",'Math'!I27,"Check inputs")</x:f>
        <x:v>21.8</x:v>
      </x:c>
      <x:c r="C53" s="33" t="n">
        <x:f>IF($A$11="Ready",'Math'!J27,"Check inputs")</x:f>
        <x:v>23.99</x:v>
      </x:c>
      <x:c r="D53" s="33" t="n">
        <x:f>IF($A$11="Ready",'Math'!K27,"Check inputs")</x:f>
        <x:v>30.86</x:v>
      </x:c>
      <x:c r="E53" s="34" t="n">
        <x:f>IF($A$11="Ready",'Math'!L27,"Check inputs")</x:f>
        <x:v>0</x:v>
      </x:c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</x:row>
    <x:row r="54" ht="29" customHeight="1">
      <x:c r="A54" s="9"/>
      <x:c r="B54" s="16"/>
      <x:c r="C54" s="16"/>
      <x:c r="D54" s="16"/>
      <x:c r="E54" s="16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</x:row>
    <x:row r="55" ht="29" customHeight="1">
      <x:c r="A55" s="9" t="str">
        <x:v>Customer-paid fees withheld</x:v>
      </x:c>
      <x:c r="B55" s="17" t="n">
        <x:f>ROUND(SUM(Math!F23:H23),2)</x:f>
        <x:v>9.06</x:v>
      </x:c>
      <x:c r="C55" s="17" t="n">
        <x:f>ROUND(SUM(Math!F23:G23),2)</x:f>
        <x:v>6.87</x:v>
      </x:c>
      <x:c r="D55" s="17" t="n">
        <x:v>0</x:v>
      </x:c>
      <x:c r="E55" s="17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</x:row>
    <x:row r="56" ht="29" customHeight="1">
      <x:c r="A56" s="9" t="str">
        <x:v>Organizer fee tax refunded</x:v>
      </x:c>
      <x:c r="B56" s="17" t="n">
        <x:v>0</x:v>
      </x:c>
      <x:c r="C56" s="17" t="n">
        <x:f>Math!P23</x:f>
        <x:v>0.18</x:v>
      </x:c>
      <x:c r="D56" s="17" t="n">
        <x:f>Math!P23</x:f>
        <x:v>0.18</x:v>
      </x:c>
      <x:c r="E56" s="17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</x:row>
    <x:row r="57" ht="29" customHeight="1">
      <x:c r="A57" s="35"/>
      <x:c r="B57" s="36"/>
      <x:c r="C57" s="36"/>
      <x:c r="D57" s="36"/>
      <x:c r="E57" s="36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</x:row>
    <x:row r="58" ht="26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</x:row>
    <x:row r="59" ht="26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</x:row>
    <x:row r="60" ht="26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</x:row>
    <x:row r="61" ht="26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</x:row>
    <x:row r="62" ht="26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</x:row>
    <x:row r="63" ht="26" customHeight="1">
      <x:c r="A63" s="1" t="str">
        <x:v>Base refund excludes customer-paid fees. Excluding Showpass adds organizer fees and their tax.</x:v>
      </x:c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</x:row>
    <x:row r="64" ht="26" customHeight="1">
      <x:c r="A64" s="1" t="str">
        <x:v>Full refund returns all customer-paid fees. The organizer still owes invoiced Showpass fees.</x:v>
      </x:c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</x:row>
    <x:row r="65" ht="26" customHeight="1">
      <x:c r="A65" s="1" t="str">
        <x:v>The refund method changes the destination, not these amounts, for a fully card-paid purchase.</x:v>
      </x:c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</x:row>
    <x:row r="66" ht="26" customHeight="1">
      <x:c r="A66" s="1" t="str">
        <x:v>First return only; matching prices and equal groups. No credits, discounts, absorbed fees or prior returns.</x:v>
      </x:c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</x:row>
    <x:row r="67" ht="26" customHeight="1">
      <x:c r="A67" s="1" t="str">
        <x:v>Shipping tax uses the original rate. Fulfilled rows assume the separate eligibility restriction allows the return.</x:v>
      </x:c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</x:row>
    <x:row r="68" ht="26" customHeight="1">
      <x:c r="A68" s="1" t="str">
        <x:v>Use saved purchase amounts for final checks. These rate-based examples do not prove live refunds or settlement.</x:v>
      </x:c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</x:row>
    <x:row r="69" ht="26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</x:row>
    <x:row r="70" ht="26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</x:row>
    <x:row r="71" ht="26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</x:row>
    <x:row r="72" ht="26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</x:row>
    <x:row r="73" ht="26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</x:row>
    <x:row r="74" ht="26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</x:row>
    <x:row r="75" ht="26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</x:row>
    <x:row r="76" ht="26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</x:row>
    <x:row r="77" ht="26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</x:row>
    <x:row r="78" ht="26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</x:row>
    <x:row r="79" ht="26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</x:row>
    <x:row r="80" ht="26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</x:row>
    <x:row r="81" ht="26" customHeight="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</x:row>
    <x:row r="82" ht="26" customHeight="1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</x:row>
    <x:row r="83" ht="26" customHeight="1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</x:row>
    <x:row r="84" ht="26" customHeight="1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</x:row>
    <x:row r="85" ht="26" customHeight="1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</x:row>
    <x:row r="86" ht="26" customHeight="1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</x:row>
    <x:row r="87" ht="26" customHeight="1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</x:row>
    <x:row r="88" ht="26" customHeight="1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</x:row>
    <x:row r="89" ht="26" customHeight="1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</x:row>
    <x:row r="90" ht="26" customHeight="1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</x:row>
    <x:row r="91" ht="26" customHeight="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</x:row>
    <x:row r="92" ht="26" customHeight="1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</x:row>
    <x:row r="93" ht="26" customHeight="1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</x:row>
    <x:row r="94" ht="26" customHeight="1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</x:row>
    <x:row r="95" ht="26" customHeight="1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</x:row>
    <x:row r="96" ht="26" customHeight="1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</x:row>
    <x:row r="97" ht="26" customHeight="1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</x:row>
    <x:row r="98" ht="26" customHeight="1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</x:row>
    <x:row r="99" ht="26" customHeight="1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</x:row>
    <x:row r="100" ht="26" customHeight="1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</x:row>
  </x:sheetData>
  <x:mergeCells>
    <x:mergeCell ref="B13:C13"/>
  </x:mergeCells>
  <x:dataValidations count="3">
    <x:dataValidation type="list" sqref="B13">
      <x:formula1>"Ticket + shipping + organizer + HST,Ticket only"</x:formula1>
    </x:dataValidation>
    <x:dataValidation type="whole" sqref="B6:B8">
      <x:formula1>1</x:formula1>
      <x:formula2>1000</x:formula2>
    </x:dataValidation>
    <x:dataValidation type="list" sqref="B15">
      <x:formula1>"Revert Funds,Organizer Credit"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5"/>
  <x:cols>
    <x:col min="1" max="1" width="20" customWidth="1"/>
    <x:col min="2" max="2" width="65" customWidth="1"/>
    <x:col min="3" max="16" width="19" customWidth="1"/>
  </x:cols>
  <x:sheetData>
    <x:row r="1" ht="26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</x:row>
    <x:row r="2" ht="26" customHeight="1">
      <x:c r="A2" s="1" t="s">
        <x:v>29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</x:row>
    <x:row r="3" ht="26" customHeight="1">
      <x:c r="A3" s="1" t="str">
        <x:v>Independent order-total fee rounding. Fixed fees apply per ticket; compare original charges before using refunds.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</x:row>
    <x:row r="4" ht="26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</x:row>
    <x:row r="5" ht="34" customHeight="1">
      <x:c r="A5" s="6" t="s">
        <x:v>30</x:v>
      </x:c>
      <x:c r="B5" s="6" t="s">
        <x:v>31</x:v>
      </x:c>
      <x:c r="C5" s="6" t="s">
        <x:v>32</x:v>
      </x:c>
      <x:c r="D5" s="6" t="s">
        <x:v>33</x:v>
      </x:c>
      <x:c r="E5" s="6" t="s">
        <x:v>34</x:v>
      </x:c>
      <x:c r="F5" s="6" t="s">
        <x:v>35</x:v>
      </x:c>
      <x:c r="G5" s="6" t="s">
        <x:v>36</x:v>
      </x:c>
      <x:c r="H5" s="6" t="s">
        <x:v>18</x:v>
      </x:c>
      <x:c r="I5" s="6" t="s">
        <x:v>37</x:v>
      </x:c>
      <x:c r="J5" s="6" t="s">
        <x:v>38</x:v>
      </x:c>
      <x:c r="K5" s="6" t="s">
        <x:v>39</x:v>
      </x:c>
      <x:c r="L5" s="6" t="s">
        <x:v>40</x:v>
      </x:c>
      <x:c r="M5" s="6" t="s">
        <x:v>41</x:v>
      </x:c>
      <x:c r="N5" s="6" t="s">
        <x:v>42</x:v>
      </x:c>
      <x:c r="O5" s="6" t="s">
        <x:v>43</x:v>
      </x:c>
      <x:c r="P5" s="6" t="s">
        <x:v>44</x:v>
      </x:c>
      <x:c r="Q5" s="1"/>
      <x:c r="R5" s="1"/>
    </x:row>
    <x:row r="6" ht="26" customHeight="1">
      <x:c r="A6" s="1" t="s">
        <x:v>21</x:v>
      </x:c>
      <x:c r="B6" s="8" t="n">
        <x:f>Calculator!$B$5*Calculator!$B$6</x:f>
        <x:v>20</x:v>
      </x:c>
      <x:c r="C6" s="8" t="n">
        <x:f>Calculator!$B$9</x:f>
        <x:v>10</x:v>
      </x:c>
      <x:c r="D6" s="8" t="n">
        <x:f>ROUND(B6*Calculator!$H$5,2)</x:f>
        <x:v>1.8</x:v>
      </x:c>
      <x:c r="E6" s="8" t="n">
        <x:f>ROUND(C6*Calculator!$H$5,2)</x:f>
        <x:v>0.9</x:v>
      </x:c>
      <x:c r="F6" s="8" t="n">
        <x:f>ROUND((Calculator!$B$5*Calculator!$H$6+Calculator!$H$7)*Calculator!$B$6,2)</x:f>
        <x:v>2.01</x:v>
      </x:c>
      <x:c r="G6" s="8" t="n">
        <x:f>ROUND(F6*Calculator!$H$5,2)</x:f>
        <x:v>0.18</x:v>
      </x:c>
      <x:c r="H6" s="8" t="n">
        <x:f>IF(Calculator!$B$13="Ticket only",B6,SUM(B6:G6))</x:f>
        <x:v>34.89</x:v>
      </x:c>
      <x:c r="I6" s="8" t="n">
        <x:f>ROUND(H6*Calculator!$H$8+Calculator!$H$9*Calculator!$B$6,2)</x:f>
        <x:v>3.11</x:v>
      </x:c>
      <x:c r="J6" s="8" t="n">
        <x:f>ROUND(I6*Calculator!$H$12,2)</x:f>
        <x:v>0.62</x:v>
      </x:c>
      <x:c r="K6" s="8" t="n">
        <x:f>ROUND((H6+I6+J6)*Calculator!$H$10+Calculator!$H$11*Calculator!$B$6,2)</x:f>
        <x:v>2.62</x:v>
      </x:c>
      <x:c r="L6" s="8" t="n">
        <x:f>ROUND(K6*Calculator!$H$12,2)</x:f>
        <x:v>0.52</x:v>
      </x:c>
      <x:c r="M6" s="8" t="n">
        <x:f>ROUND(SUM(B6:G6,I6:L6),2)</x:f>
        <x:v>41.76</x:v>
      </x:c>
      <x:c r="N6" s="25" t="n">
        <x:f>Calculator!$B$8/Calculator!$B$6</x:f>
        <x:v>1</x:v>
      </x:c>
      <x:c r="O6" s="8" t="n">
        <x:f>ROUND(F6*N6,2)</x:f>
        <x:v>2.01</x:v>
      </x:c>
      <x:c r="P6" s="8" t="n">
        <x:f>ROUND(G6*N6,2)</x:f>
        <x:v>0.18</x:v>
      </x:c>
      <x:c r="Q6" s="1"/>
      <x:c r="R6" s="1"/>
    </x:row>
    <x:row r="7" ht="26" customHeight="1">
      <x:c r="A7" s="1" t="s">
        <x:v>27</x:v>
      </x:c>
      <x:c r="B7" s="8" t="n">
        <x:f>Calculator!$B$5*Calculator!$B$6</x:f>
        <x:v>20</x:v>
      </x:c>
      <x:c r="C7" s="8" t="n">
        <x:f>Calculator!$B$9*Calculator!$B$7</x:f>
        <x:v>10</x:v>
      </x:c>
      <x:c r="D7" s="8" t="n">
        <x:f>ROUND(B7*Calculator!$H$5,2)</x:f>
        <x:v>1.8</x:v>
      </x:c>
      <x:c r="E7" s="8" t="n">
        <x:f>ROUND(C7*Calculator!$H$5,2)</x:f>
        <x:v>0.9</x:v>
      </x:c>
      <x:c r="F7" s="8" t="n">
        <x:f>ROUND((Calculator!$B$5*Calculator!$H$6+Calculator!$H$7)*Calculator!$B$6,2)</x:f>
        <x:v>2.01</x:v>
      </x:c>
      <x:c r="G7" s="8" t="n">
        <x:f>ROUND(F7*Calculator!$H$5,2)</x:f>
        <x:v>0.18</x:v>
      </x:c>
      <x:c r="H7" s="8" t="n">
        <x:f>IF(Calculator!$B$13="Ticket only",B7,SUM(B7:G7))</x:f>
        <x:v>34.89</x:v>
      </x:c>
      <x:c r="I7" s="8" t="n">
        <x:f>ROUND(H7*Calculator!$H$8+Calculator!$H$9*Calculator!$B$6,2)</x:f>
        <x:v>3.11</x:v>
      </x:c>
      <x:c r="J7" s="8" t="n">
        <x:f>ROUND(I7*Calculator!$H$12,2)</x:f>
        <x:v>0.62</x:v>
      </x:c>
      <x:c r="K7" s="8" t="n">
        <x:f>ROUND((H7+I7+J7)*Calculator!$H$10+Calculator!$H$11*Calculator!$B$6,2)</x:f>
        <x:v>2.62</x:v>
      </x:c>
      <x:c r="L7" s="8" t="n">
        <x:f>ROUND(K7*Calculator!$H$12,2)</x:f>
        <x:v>0.52</x:v>
      </x:c>
      <x:c r="M7" s="8" t="n">
        <x:f>ROUND(SUM(B7:G7,I7:L7),2)</x:f>
        <x:v>41.76</x:v>
      </x:c>
      <x:c r="N7" s="25" t="n">
        <x:f>Calculator!$B$8/Calculator!$B$6</x:f>
        <x:v>1</x:v>
      </x:c>
      <x:c r="O7" s="8" t="n">
        <x:f>ROUND(F7*N7,2)</x:f>
        <x:v>2.01</x:v>
      </x:c>
      <x:c r="P7" s="8" t="n">
        <x:f>ROUND(G7*N7,2)</x:f>
        <x:v>0.18</x:v>
      </x:c>
      <x:c r="Q7" s="1"/>
      <x:c r="R7" s="1"/>
    </x:row>
    <x:row r="8" ht="26" customHeight="1">
      <x:c r="A8" s="1" t="s">
        <x:v>28</x:v>
      </x:c>
      <x:c r="B8" s="8" t="n">
        <x:f>Calculator!$B$5*Calculator!$B$6</x:f>
        <x:v>20</x:v>
      </x:c>
      <x:c r="C8" s="8" t="n">
        <x:f>Calculator!$B$9*Calculator!$B$6</x:f>
        <x:v>10</x:v>
      </x:c>
      <x:c r="D8" s="8" t="n">
        <x:f>ROUND(B8*Calculator!$H$5,2)</x:f>
        <x:v>1.8</x:v>
      </x:c>
      <x:c r="E8" s="8" t="n">
        <x:f>ROUND(C8*Calculator!$H$5,2)</x:f>
        <x:v>0.9</x:v>
      </x:c>
      <x:c r="F8" s="8" t="n">
        <x:f>ROUND((Calculator!$B$5*Calculator!$H$6+Calculator!$H$7)*Calculator!$B$6,2)</x:f>
        <x:v>2.01</x:v>
      </x:c>
      <x:c r="G8" s="8" t="n">
        <x:f>ROUND(F8*Calculator!$H$5,2)</x:f>
        <x:v>0.18</x:v>
      </x:c>
      <x:c r="H8" s="8" t="n">
        <x:f>IF(Calculator!$B$13="Ticket only",B8,SUM(B8:G8))</x:f>
        <x:v>34.89</x:v>
      </x:c>
      <x:c r="I8" s="8" t="n">
        <x:f>ROUND(H8*Calculator!$H$8+Calculator!$H$9*Calculator!$B$6,2)</x:f>
        <x:v>3.11</x:v>
      </x:c>
      <x:c r="J8" s="8" t="n">
        <x:f>ROUND(I8*Calculator!$H$12,2)</x:f>
        <x:v>0.62</x:v>
      </x:c>
      <x:c r="K8" s="8" t="n">
        <x:f>ROUND((H8+I8+J8)*Calculator!$H$10+Calculator!$H$11*Calculator!$B$6,2)</x:f>
        <x:v>2.62</x:v>
      </x:c>
      <x:c r="L8" s="8" t="n">
        <x:f>ROUND(K8*Calculator!$H$12,2)</x:f>
        <x:v>0.52</x:v>
      </x:c>
      <x:c r="M8" s="8" t="n">
        <x:f>ROUND(SUM(B8:G8,I8:L8),2)</x:f>
        <x:v>41.76</x:v>
      </x:c>
      <x:c r="N8" s="25" t="n">
        <x:f>Calculator!$B$8/Calculator!$B$6</x:f>
        <x:v>1</x:v>
      </x:c>
      <x:c r="O8" s="8" t="n">
        <x:f>ROUND(F8*N8,2)</x:f>
        <x:v>2.01</x:v>
      </x:c>
      <x:c r="P8" s="8" t="n">
        <x:f>ROUND(G8*N8,2)</x:f>
        <x:v>0.18</x:v>
      </x:c>
      <x:c r="Q8" s="1"/>
      <x:c r="R8" s="1"/>
    </x:row>
    <x:row r="9" ht="26" customHeight="1">
      <x:c r="A9" s="1"/>
      <x:c r="B9" s="1"/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</x:row>
    <x:row r="10" ht="26" customHeight="1">
      <x:c r="A10" s="1"/>
      <x:c r="B10" s="1"/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</x:row>
    <x:row r="11" ht="26" customHeight="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</x:row>
    <x:row r="12" ht="34" customHeight="1">
      <x:c r="A12" s="6" t="s">
        <x:v>30</x:v>
      </x:c>
      <x:c r="B12" s="6" t="s">
        <x:v>45</x:v>
      </x:c>
      <x:c r="C12" s="6" t="s">
        <x:v>46</x:v>
      </x:c>
      <x:c r="D12" s="6" t="s">
        <x:v>47</x:v>
      </x:c>
      <x:c r="E12" s="6" t="s">
        <x:v>48</x:v>
      </x:c>
      <x:c r="F12" s="6" t="s">
        <x:v>49</x:v>
      </x:c>
      <x:c r="G12" s="6" t="s">
        <x:v>50</x:v>
      </x:c>
      <x:c r="H12" s="6" t="s">
        <x:v>51</x:v>
      </x:c>
      <x:c r="I12" s="6" t="str">
        <x:v>Base refund</x:v>
      </x:c>
      <x:c r="J12" s="6" t="str">
        <x:v>Exclude Showpass fees</x:v>
      </x:c>
      <x:c r="K12" s="6" t="str">
        <x:v>Full refund; fees invoiced</x:v>
      </x:c>
      <x:c r="L12" s="6" t="str">
        <x:v>Shipping + tax returned</x:v>
      </x:c>
      <x:c r="M12" s="6" t="s">
        <x:v>52</x:v>
      </x:c>
      <x:c r="N12" s="6" t="s">
        <x:v>53</x:v>
      </x:c>
      <x:c r="O12" s="6" t="s">
        <x:v>54</x:v>
      </x:c>
      <x:c r="P12" s="6" t="s">
        <x:v>55</x:v>
      </x:c>
      <x:c r="Q12" s="1"/>
      <x:c r="R12" s="1"/>
    </x:row>
    <x:row r="13" ht="26" customHeight="1">
      <x:c r="A13" s="1" t="s">
        <x:v>21</x:v>
      </x:c>
      <x:c r="B13" s="1" t="s">
        <x:v>22</x:v>
      </x:c>
      <x:c r="C13" s="8" t="n">
        <x:f>ROUND(0,2)</x:f>
        <x:v>0</x:v>
      </x:c>
      <x:c r="D13" s="8" t="n">
        <x:f>IF(C6=0,0,ROUND(E6*C13/C6,2))</x:f>
        <x:v>0</x:v>
      </x:c>
      <x:c r="E13" s="8" t="n">
        <x:f>ROUND(B6*N6,2)+ROUND(D6*N6,2)</x:f>
        <x:v>21.8</x:v>
      </x:c>
      <x:c r="F13" s="8" t="n">
        <x:f>ROUND(I6*N6,2)+ROUND(J6*N6,2)</x:f>
        <x:v>3.73</x:v>
      </x:c>
      <x:c r="G13" s="8" t="n">
        <x:f>ROUND(K6*N6,2)+ROUND(L6*N6,2)</x:f>
        <x:v>3.14</x:v>
      </x:c>
      <x:c r="H13" s="8" t="n">
        <x:f>SUM(O6:P6)</x:f>
        <x:v>2.19</x:v>
      </x:c>
      <x:c r="I13" s="8" t="n">
        <x:f t="shared" ref="I13:I27" si="0">ROUND(SUM(C13:E13),2)</x:f>
        <x:v>21.8</x:v>
      </x:c>
      <x:c r="J13" s="8" t="n">
        <x:f t="shared" ref="J13:J27" si="1">ROUND(I13+H13,2)</x:f>
        <x:v>23.99</x:v>
      </x:c>
      <x:c r="K13" s="8" t="n">
        <x:f t="shared" ref="K13:K27" si="2">ROUND(SUM(J13,F13:G13),2)</x:f>
        <x:v>30.86</x:v>
      </x:c>
      <x:c r="L13" s="8" t="n">
        <x:f t="shared" ref="L13:L27" si="3">ROUND(SUM(C13:D13),2)</x:f>
        <x:v>0</x:v>
      </x:c>
      <x:c r="M13" s="8" t="n">
        <x:f>ROUND(C6-C13,2)</x:f>
        <x:v>10</x:v>
      </x:c>
      <x:c r="N13" s="8" t="n">
        <x:f>ROUND(E6-D13,2)</x:f>
        <x:v>0.9</x:v>
      </x:c>
      <x:c r="O13" s="8" t="n">
        <x:f t="shared" ref="O13:O27" si="4">ROUND(SUM(F13:H13),2)</x:f>
        <x:v>9.06</x:v>
      </x:c>
      <x:c r="P13" s="8" t="n">
        <x:f>P6</x:f>
        <x:v>0.18</x:v>
      </x:c>
      <x:c r="Q13" s="1"/>
      <x:c r="R13" s="1"/>
    </x:row>
    <x:row r="14" ht="26" customHeight="1">
      <x:c r="A14" s="1" t="s">
        <x:v>21</x:v>
      </x:c>
      <x:c r="B14" s="1" t="s">
        <x:v>23</x:v>
      </x:c>
      <x:c r="C14" s="8" t="n">
        <x:f>ROUND(IF(Calculator!$B$8=Calculator!$B$6,C6,0),2)</x:f>
        <x:v>10</x:v>
      </x:c>
      <x:c r="D14" s="8" t="n">
        <x:f>IF(C6=0,0,ROUND(E6*C14/C6,2))</x:f>
        <x:v>0.9</x:v>
      </x:c>
      <x:c r="E14" s="8" t="n">
        <x:f>ROUND(B6*N6,2)+ROUND(D6*N6,2)</x:f>
        <x:v>21.8</x:v>
      </x:c>
      <x:c r="F14" s="8" t="n">
        <x:f>ROUND(I6*N6,2)+ROUND(J6*N6,2)</x:f>
        <x:v>3.73</x:v>
      </x:c>
      <x:c r="G14" s="8" t="n">
        <x:f>ROUND(K6*N6,2)+ROUND(L6*N6,2)</x:f>
        <x:v>3.14</x:v>
      </x:c>
      <x:c r="H14" s="8" t="n">
        <x:f>SUM(O6:P6)</x:f>
        <x:v>2.19</x:v>
      </x:c>
      <x:c r="I14" s="8" t="n">
        <x:f t="shared" si="0">ROUND(SUM(C14:E14),2)</x:f>
        <x:v>32.7</x:v>
      </x:c>
      <x:c r="J14" s="8" t="n">
        <x:f t="shared" si="1">ROUND(I14+H14,2)</x:f>
        <x:v>34.89</x:v>
      </x:c>
      <x:c r="K14" s="8" t="n">
        <x:f t="shared" si="2">ROUND(SUM(J14,F14:G14),2)</x:f>
        <x:v>41.76</x:v>
      </x:c>
      <x:c r="L14" s="8" t="n">
        <x:f t="shared" si="3">ROUND(SUM(C14:D14),2)</x:f>
        <x:v>10.9</x:v>
      </x:c>
      <x:c r="M14" s="8" t="n">
        <x:f>ROUND(C6-C14,2)</x:f>
        <x:v>0</x:v>
      </x:c>
      <x:c r="N14" s="8" t="n">
        <x:f>ROUND(E6-D14,2)</x:f>
        <x:v>0</x:v>
      </x:c>
      <x:c r="O14" s="8">
        <x:f t="shared" si="4"/>
        <x:v>9.06</x:v>
      </x:c>
      <x:c r="P14" s="8" t="n">
        <x:f>P6</x:f>
        <x:v>0.18</x:v>
      </x:c>
      <x:c r="Q14" s="1"/>
      <x:c r="R14" s="1"/>
    </x:row>
    <x:row r="15" ht="26" customHeight="1">
      <x:c r="A15" s="1" t="s">
        <x:v>21</x:v>
      </x:c>
      <x:c r="B15" s="1" t="s">
        <x:v>24</x:v>
      </x:c>
      <x:c r="C15" s="8" t="n">
        <x:f>ROUND(C6*N6,2)</x:f>
        <x:v>10</x:v>
      </x:c>
      <x:c r="D15" s="8" t="n">
        <x:f>IF(C6=0,0,ROUND(E6*C15/C6,2))</x:f>
        <x:v>0.9</x:v>
      </x:c>
      <x:c r="E15" s="8" t="n">
        <x:f>ROUND(B6*N6,2)+ROUND(D6*N6,2)</x:f>
        <x:v>21.8</x:v>
      </x:c>
      <x:c r="F15" s="8" t="n">
        <x:f>ROUND(I6*N6,2)+ROUND(J6*N6,2)</x:f>
        <x:v>3.73</x:v>
      </x:c>
      <x:c r="G15" s="8" t="n">
        <x:f>ROUND(K6*N6,2)+ROUND(L6*N6,2)</x:f>
        <x:v>3.14</x:v>
      </x:c>
      <x:c r="H15" s="8" t="n">
        <x:f>SUM(O6:P6)</x:f>
        <x:v>2.19</x:v>
      </x:c>
      <x:c r="I15" s="8" t="n">
        <x:f t="shared" si="0">ROUND(SUM(C15:E15),2)</x:f>
        <x:v>32.7</x:v>
      </x:c>
      <x:c r="J15" s="8" t="n">
        <x:f t="shared" si="1">ROUND(I15+H15,2)</x:f>
        <x:v>34.89</x:v>
      </x:c>
      <x:c r="K15" s="8" t="n">
        <x:f t="shared" si="2">ROUND(SUM(J15,F15:G15),2)</x:f>
        <x:v>41.76</x:v>
      </x:c>
      <x:c r="L15" s="8" t="n">
        <x:f t="shared" si="3">ROUND(SUM(C15:D15),2)</x:f>
        <x:v>10.9</x:v>
      </x:c>
      <x:c r="M15" s="8" t="n">
        <x:f>ROUND(C6-C15,2)</x:f>
        <x:v>0</x:v>
      </x:c>
      <x:c r="N15" s="8" t="n">
        <x:f>ROUND(E6-D15,2)</x:f>
        <x:v>0</x:v>
      </x:c>
      <x:c r="O15" s="8">
        <x:f t="shared" si="4"/>
        <x:v>9.06</x:v>
      </x:c>
      <x:c r="P15" s="8" t="n">
        <x:f>P6</x:f>
        <x:v>0.18</x:v>
      </x:c>
      <x:c r="Q15" s="1"/>
      <x:c r="R15" s="1"/>
    </x:row>
    <x:row r="16" ht="26" customHeight="1">
      <x:c r="A16" s="1" t="s">
        <x:v>21</x:v>
      </x:c>
      <x:c r="B16" s="1" t="s">
        <x:v>25</x:v>
      </x:c>
      <x:c r="C16" s="8" t="n">
        <x:f>ROUND(C6*N6,2)</x:f>
        <x:v>10</x:v>
      </x:c>
      <x:c r="D16" s="8" t="n">
        <x:f>IF(C6=0,0,ROUND(E6*C16/C6,2))</x:f>
        <x:v>0.9</x:v>
      </x:c>
      <x:c r="E16" s="8" t="n">
        <x:f>ROUND(B6*N6,2)+ROUND(D6*N6,2)</x:f>
        <x:v>21.8</x:v>
      </x:c>
      <x:c r="F16" s="8" t="n">
        <x:f>ROUND(I6*N6,2)+ROUND(J6*N6,2)</x:f>
        <x:v>3.73</x:v>
      </x:c>
      <x:c r="G16" s="8" t="n">
        <x:f>ROUND(K6*N6,2)+ROUND(L6*N6,2)</x:f>
        <x:v>3.14</x:v>
      </x:c>
      <x:c r="H16" s="8" t="n">
        <x:f>SUM(O6:P6)</x:f>
        <x:v>2.19</x:v>
      </x:c>
      <x:c r="I16" s="8" t="n">
        <x:f t="shared" si="0">ROUND(SUM(C16:E16),2)</x:f>
        <x:v>32.7</x:v>
      </x:c>
      <x:c r="J16" s="8" t="n">
        <x:f t="shared" si="1">ROUND(I16+H16,2)</x:f>
        <x:v>34.89</x:v>
      </x:c>
      <x:c r="K16" s="8" t="n">
        <x:f t="shared" si="2">ROUND(SUM(J16,F16:G16),2)</x:f>
        <x:v>41.76</x:v>
      </x:c>
      <x:c r="L16" s="8" t="n">
        <x:f t="shared" si="3">ROUND(SUM(C16:D16),2)</x:f>
        <x:v>10.9</x:v>
      </x:c>
      <x:c r="M16" s="8" t="n">
        <x:f>ROUND(C6-C16,2)</x:f>
        <x:v>0</x:v>
      </x:c>
      <x:c r="N16" s="8" t="n">
        <x:f>ROUND(E6-D16,2)</x:f>
        <x:v>0</x:v>
      </x:c>
      <x:c r="O16" s="8">
        <x:f t="shared" si="4"/>
        <x:v>9.06</x:v>
      </x:c>
      <x:c r="P16" s="8" t="n">
        <x:f>P6</x:f>
        <x:v>0.18</x:v>
      </x:c>
      <x:c r="Q16" s="1"/>
      <x:c r="R16" s="1"/>
    </x:row>
    <x:row r="17" ht="26" customHeight="1">
      <x:c r="A17" s="1" t="s">
        <x:v>21</x:v>
      </x:c>
      <x:c r="B17" s="1" t="s">
        <x:v>26</x:v>
      </x:c>
      <x:c r="C17" s="8" t="n">
        <x:f>ROUND(0,2)</x:f>
        <x:v>0</x:v>
      </x:c>
      <x:c r="D17" s="8" t="n">
        <x:f>IF(C6=0,0,ROUND(E6*C17/C6,2))</x:f>
        <x:v>0</x:v>
      </x:c>
      <x:c r="E17" s="8" t="n">
        <x:f>ROUND(B6*N6,2)+ROUND(D6*N6,2)</x:f>
        <x:v>21.8</x:v>
      </x:c>
      <x:c r="F17" s="8" t="n">
        <x:f>ROUND(I6*N6,2)+ROUND(J6*N6,2)</x:f>
        <x:v>3.73</x:v>
      </x:c>
      <x:c r="G17" s="8" t="n">
        <x:f>ROUND(K6*N6,2)+ROUND(L6*N6,2)</x:f>
        <x:v>3.14</x:v>
      </x:c>
      <x:c r="H17" s="8" t="n">
        <x:f>SUM(O6:P6)</x:f>
        <x:v>2.19</x:v>
      </x:c>
      <x:c r="I17" s="8" t="n">
        <x:f t="shared" si="0">ROUND(SUM(C17:E17),2)</x:f>
        <x:v>21.8</x:v>
      </x:c>
      <x:c r="J17" s="8" t="n">
        <x:f t="shared" si="1">ROUND(I17+H17,2)</x:f>
        <x:v>23.99</x:v>
      </x:c>
      <x:c r="K17" s="8" t="n">
        <x:f t="shared" si="2">ROUND(SUM(J17,F17:G17),2)</x:f>
        <x:v>30.86</x:v>
      </x:c>
      <x:c r="L17" s="8" t="n">
        <x:f t="shared" si="3">ROUND(SUM(C17:D17),2)</x:f>
        <x:v>0</x:v>
      </x:c>
      <x:c r="M17" s="8" t="n">
        <x:f>ROUND(C6-C17,2)</x:f>
        <x:v>10</x:v>
      </x:c>
      <x:c r="N17" s="8" t="n">
        <x:f>ROUND(E6-D17,2)</x:f>
        <x:v>0.9</x:v>
      </x:c>
      <x:c r="O17" s="8">
        <x:f t="shared" si="4"/>
        <x:v>9.06</x:v>
      </x:c>
      <x:c r="P17" s="8" t="n">
        <x:f>P6</x:f>
        <x:v>0.18</x:v>
      </x:c>
      <x:c r="Q17" s="1"/>
      <x:c r="R17" s="1"/>
    </x:row>
    <x:row r="18" ht="26" customHeight="1">
      <x:c r="A18" s="1" t="s">
        <x:v>27</x:v>
      </x:c>
      <x:c r="B18" s="1" t="s">
        <x:v>22</x:v>
      </x:c>
      <x:c r="C18" s="8" t="n">
        <x:f>ROUND(0,2)</x:f>
        <x:v>0</x:v>
      </x:c>
      <x:c r="D18" s="8" t="n">
        <x:f>IF(C7=0,0,ROUND(E7*C18/C7,2))</x:f>
        <x:v>0</x:v>
      </x:c>
      <x:c r="E18" s="8" t="n">
        <x:f>ROUND(B7*N7,2)+ROUND(D7*N7,2)</x:f>
        <x:v>21.8</x:v>
      </x:c>
      <x:c r="F18" s="8" t="n">
        <x:f>ROUND(I7*N7,2)+ROUND(J7*N7,2)</x:f>
        <x:v>3.73</x:v>
      </x:c>
      <x:c r="G18" s="8" t="n">
        <x:f>ROUND(K7*N7,2)+ROUND(L7*N7,2)</x:f>
        <x:v>3.14</x:v>
      </x:c>
      <x:c r="H18" s="8" t="n">
        <x:f>SUM(O7:P7)</x:f>
        <x:v>2.19</x:v>
      </x:c>
      <x:c r="I18" s="8" t="n">
        <x:f t="shared" si="0">ROUND(SUM(C18:E18),2)</x:f>
        <x:v>21.8</x:v>
      </x:c>
      <x:c r="J18" s="8" t="n">
        <x:f t="shared" si="1">ROUND(I18+H18,2)</x:f>
        <x:v>23.99</x:v>
      </x:c>
      <x:c r="K18" s="8" t="n">
        <x:f t="shared" si="2">ROUND(SUM(J18,F18:G18),2)</x:f>
        <x:v>30.86</x:v>
      </x:c>
      <x:c r="L18" s="8" t="n">
        <x:f t="shared" si="3">ROUND(SUM(C18:D18),2)</x:f>
        <x:v>0</x:v>
      </x:c>
      <x:c r="M18" s="8" t="n">
        <x:f>ROUND(C7-C18,2)</x:f>
        <x:v>10</x:v>
      </x:c>
      <x:c r="N18" s="8" t="n">
        <x:f>ROUND(E7-D18,2)</x:f>
        <x:v>0.9</x:v>
      </x:c>
      <x:c r="O18" s="8">
        <x:f t="shared" si="4"/>
        <x:v>9.06</x:v>
      </x:c>
      <x:c r="P18" s="8" t="n">
        <x:f>P7</x:f>
        <x:v>0.18</x:v>
      </x:c>
      <x:c r="Q18" s="1"/>
      <x:c r="R18" s="1"/>
    </x:row>
    <x:row r="19" ht="26" customHeight="1">
      <x:c r="A19" s="1" t="s">
        <x:v>27</x:v>
      </x:c>
      <x:c r="B19" s="1" t="s">
        <x:v>23</x:v>
      </x:c>
      <x:c r="C19" s="8" t="n">
        <x:f>ROUND(MIN(C7,INT(Calculator!$B$8/(Calculator!$B$6/Calculator!$B$7))*Calculator!$B$9),2)</x:f>
        <x:v>10</x:v>
      </x:c>
      <x:c r="D19" s="8" t="n">
        <x:f>IF(C7=0,0,ROUND(E7*C19/C7,2))</x:f>
        <x:v>0.9</x:v>
      </x:c>
      <x:c r="E19" s="8" t="n">
        <x:f>ROUND(B7*N7,2)+ROUND(D7*N7,2)</x:f>
        <x:v>21.8</x:v>
      </x:c>
      <x:c r="F19" s="8" t="n">
        <x:f>ROUND(I7*N7,2)+ROUND(J7*N7,2)</x:f>
        <x:v>3.73</x:v>
      </x:c>
      <x:c r="G19" s="8" t="n">
        <x:f>ROUND(K7*N7,2)+ROUND(L7*N7,2)</x:f>
        <x:v>3.14</x:v>
      </x:c>
      <x:c r="H19" s="8" t="n">
        <x:f>SUM(O7:P7)</x:f>
        <x:v>2.19</x:v>
      </x:c>
      <x:c r="I19" s="8" t="n">
        <x:f t="shared" si="0">ROUND(SUM(C19:E19),2)</x:f>
        <x:v>32.7</x:v>
      </x:c>
      <x:c r="J19" s="8" t="n">
        <x:f t="shared" si="1">ROUND(I19+H19,2)</x:f>
        <x:v>34.89</x:v>
      </x:c>
      <x:c r="K19" s="8" t="n">
        <x:f t="shared" si="2">ROUND(SUM(J19,F19:G19),2)</x:f>
        <x:v>41.76</x:v>
      </x:c>
      <x:c r="L19" s="8" t="n">
        <x:f t="shared" si="3">ROUND(SUM(C19:D19),2)</x:f>
        <x:v>10.9</x:v>
      </x:c>
      <x:c r="M19" s="8" t="n">
        <x:f>ROUND(C7-C19,2)</x:f>
        <x:v>0</x:v>
      </x:c>
      <x:c r="N19" s="8" t="n">
        <x:f>ROUND(E7-D19,2)</x:f>
        <x:v>0</x:v>
      </x:c>
      <x:c r="O19" s="8">
        <x:f t="shared" si="4"/>
        <x:v>9.06</x:v>
      </x:c>
      <x:c r="P19" s="8" t="n">
        <x:f>P7</x:f>
        <x:v>0.18</x:v>
      </x:c>
      <x:c r="Q19" s="1"/>
      <x:c r="R19" s="1"/>
    </x:row>
    <x:row r="20" ht="26" customHeight="1">
      <x:c r="A20" s="1" t="s">
        <x:v>27</x:v>
      </x:c>
      <x:c r="B20" s="1" t="s">
        <x:v>24</x:v>
      </x:c>
      <x:c r="C20" s="8" t="n">
        <x:f>ROUND(C7*N7,2)</x:f>
        <x:v>10</x:v>
      </x:c>
      <x:c r="D20" s="8" t="n">
        <x:f>IF(C7=0,0,ROUND(E7*C20/C7,2))</x:f>
        <x:v>0.9</x:v>
      </x:c>
      <x:c r="E20" s="8" t="n">
        <x:f>ROUND(B7*N7,2)+ROUND(D7*N7,2)</x:f>
        <x:v>21.8</x:v>
      </x:c>
      <x:c r="F20" s="8" t="n">
        <x:f>ROUND(I7*N7,2)+ROUND(J7*N7,2)</x:f>
        <x:v>3.73</x:v>
      </x:c>
      <x:c r="G20" s="8" t="n">
        <x:f>ROUND(K7*N7,2)+ROUND(L7*N7,2)</x:f>
        <x:v>3.14</x:v>
      </x:c>
      <x:c r="H20" s="8" t="n">
        <x:f>SUM(O7:P7)</x:f>
        <x:v>2.19</x:v>
      </x:c>
      <x:c r="I20" s="8" t="n">
        <x:f t="shared" si="0">ROUND(SUM(C20:E20),2)</x:f>
        <x:v>32.7</x:v>
      </x:c>
      <x:c r="J20" s="8" t="n">
        <x:f t="shared" si="1">ROUND(I20+H20,2)</x:f>
        <x:v>34.89</x:v>
      </x:c>
      <x:c r="K20" s="8" t="n">
        <x:f t="shared" si="2">ROUND(SUM(J20,F20:G20),2)</x:f>
        <x:v>41.76</x:v>
      </x:c>
      <x:c r="L20" s="8" t="n">
        <x:f t="shared" si="3">ROUND(SUM(C20:D20),2)</x:f>
        <x:v>10.9</x:v>
      </x:c>
      <x:c r="M20" s="8" t="n">
        <x:f>ROUND(C7-C20,2)</x:f>
        <x:v>0</x:v>
      </x:c>
      <x:c r="N20" s="8" t="n">
        <x:f>ROUND(E7-D20,2)</x:f>
        <x:v>0</x:v>
      </x:c>
      <x:c r="O20" s="8">
        <x:f t="shared" si="4"/>
        <x:v>9.06</x:v>
      </x:c>
      <x:c r="P20" s="8" t="n">
        <x:f>P7</x:f>
        <x:v>0.18</x:v>
      </x:c>
      <x:c r="Q20" s="1"/>
      <x:c r="R20" s="1"/>
    </x:row>
    <x:row r="21" ht="26" customHeight="1">
      <x:c r="A21" s="1" t="s">
        <x:v>27</x:v>
      </x:c>
      <x:c r="B21" s="1" t="s">
        <x:v>25</x:v>
      </x:c>
      <x:c r="C21" s="8" t="n">
        <x:f>ROUND(C7*N7,2)</x:f>
        <x:v>10</x:v>
      </x:c>
      <x:c r="D21" s="8" t="n">
        <x:f>IF(C7=0,0,ROUND(E7*C21/C7,2))</x:f>
        <x:v>0.9</x:v>
      </x:c>
      <x:c r="E21" s="8" t="n">
        <x:f>ROUND(B7*N7,2)+ROUND(D7*N7,2)</x:f>
        <x:v>21.8</x:v>
      </x:c>
      <x:c r="F21" s="8" t="n">
        <x:f>ROUND(I7*N7,2)+ROUND(J7*N7,2)</x:f>
        <x:v>3.73</x:v>
      </x:c>
      <x:c r="G21" s="8" t="n">
        <x:f>ROUND(K7*N7,2)+ROUND(L7*N7,2)</x:f>
        <x:v>3.14</x:v>
      </x:c>
      <x:c r="H21" s="8" t="n">
        <x:f>SUM(O7:P7)</x:f>
        <x:v>2.19</x:v>
      </x:c>
      <x:c r="I21" s="8" t="n">
        <x:f t="shared" si="0">ROUND(SUM(C21:E21),2)</x:f>
        <x:v>32.7</x:v>
      </x:c>
      <x:c r="J21" s="8" t="n">
        <x:f t="shared" si="1">ROUND(I21+H21,2)</x:f>
        <x:v>34.89</x:v>
      </x:c>
      <x:c r="K21" s="8" t="n">
        <x:f t="shared" si="2">ROUND(SUM(J21,F21:G21),2)</x:f>
        <x:v>41.76</x:v>
      </x:c>
      <x:c r="L21" s="8" t="n">
        <x:f t="shared" si="3">ROUND(SUM(C21:D21),2)</x:f>
        <x:v>10.9</x:v>
      </x:c>
      <x:c r="M21" s="8" t="n">
        <x:f>ROUND(C7-C21,2)</x:f>
        <x:v>0</x:v>
      </x:c>
      <x:c r="N21" s="8" t="n">
        <x:f>ROUND(E7-D21,2)</x:f>
        <x:v>0</x:v>
      </x:c>
      <x:c r="O21" s="8">
        <x:f t="shared" si="4"/>
        <x:v>9.06</x:v>
      </x:c>
      <x:c r="P21" s="8" t="n">
        <x:f>P7</x:f>
        <x:v>0.18</x:v>
      </x:c>
      <x:c r="Q21" s="1"/>
      <x:c r="R21" s="1"/>
    </x:row>
    <x:row r="22" ht="26" customHeight="1">
      <x:c r="A22" s="1" t="s">
        <x:v>27</x:v>
      </x:c>
      <x:c r="B22" s="1" t="s">
        <x:v>26</x:v>
      </x:c>
      <x:c r="C22" s="8" t="n">
        <x:f>ROUND(0,2)</x:f>
        <x:v>0</x:v>
      </x:c>
      <x:c r="D22" s="8" t="n">
        <x:f>IF(C7=0,0,ROUND(E7*C22/C7,2))</x:f>
        <x:v>0</x:v>
      </x:c>
      <x:c r="E22" s="8" t="n">
        <x:f>ROUND(B7*N7,2)+ROUND(D7*N7,2)</x:f>
        <x:v>21.8</x:v>
      </x:c>
      <x:c r="F22" s="8" t="n">
        <x:f>ROUND(I7*N7,2)+ROUND(J7*N7,2)</x:f>
        <x:v>3.73</x:v>
      </x:c>
      <x:c r="G22" s="8" t="n">
        <x:f>ROUND(K7*N7,2)+ROUND(L7*N7,2)</x:f>
        <x:v>3.14</x:v>
      </x:c>
      <x:c r="H22" s="8" t="n">
        <x:f>SUM(O7:P7)</x:f>
        <x:v>2.19</x:v>
      </x:c>
      <x:c r="I22" s="8" t="n">
        <x:f t="shared" si="0">ROUND(SUM(C22:E22),2)</x:f>
        <x:v>21.8</x:v>
      </x:c>
      <x:c r="J22" s="8" t="n">
        <x:f t="shared" si="1">ROUND(I22+H22,2)</x:f>
        <x:v>23.99</x:v>
      </x:c>
      <x:c r="K22" s="8" t="n">
        <x:f t="shared" si="2">ROUND(SUM(J22,F22:G22),2)</x:f>
        <x:v>30.86</x:v>
      </x:c>
      <x:c r="L22" s="8" t="n">
        <x:f t="shared" si="3">ROUND(SUM(C22:D22),2)</x:f>
        <x:v>0</x:v>
      </x:c>
      <x:c r="M22" s="8" t="n">
        <x:f>ROUND(C7-C22,2)</x:f>
        <x:v>10</x:v>
      </x:c>
      <x:c r="N22" s="8" t="n">
        <x:f>ROUND(E7-D22,2)</x:f>
        <x:v>0.9</x:v>
      </x:c>
      <x:c r="O22" s="8">
        <x:f t="shared" si="4"/>
        <x:v>9.06</x:v>
      </x:c>
      <x:c r="P22" s="8" t="n">
        <x:f>P7</x:f>
        <x:v>0.18</x:v>
      </x:c>
      <x:c r="Q22" s="1"/>
      <x:c r="R22" s="1"/>
    </x:row>
    <x:row r="23" ht="26" customHeight="1">
      <x:c r="A23" s="1" t="s">
        <x:v>28</x:v>
      </x:c>
      <x:c r="B23" s="1" t="s">
        <x:v>22</x:v>
      </x:c>
      <x:c r="C23" s="8" t="n">
        <x:f>ROUND(0,2)</x:f>
        <x:v>0</x:v>
      </x:c>
      <x:c r="D23" s="8" t="n">
        <x:f>IF(C8=0,0,ROUND(E8*C23/C8,2))</x:f>
        <x:v>0</x:v>
      </x:c>
      <x:c r="E23" s="8" t="n">
        <x:f>ROUND(B8*N8,2)+ROUND(D8*N8,2)</x:f>
        <x:v>21.8</x:v>
      </x:c>
      <x:c r="F23" s="8" t="n">
        <x:f>ROUND(I8*N8,2)+ROUND(J8*N8,2)</x:f>
        <x:v>3.73</x:v>
      </x:c>
      <x:c r="G23" s="8" t="n">
        <x:f>ROUND(K8*N8,2)+ROUND(L8*N8,2)</x:f>
        <x:v>3.14</x:v>
      </x:c>
      <x:c r="H23" s="8" t="n">
        <x:f>SUM(O8:P8)</x:f>
        <x:v>2.19</x:v>
      </x:c>
      <x:c r="I23" s="8" t="n">
        <x:f t="shared" si="0">ROUND(SUM(C23:E23),2)</x:f>
        <x:v>21.8</x:v>
      </x:c>
      <x:c r="J23" s="8" t="n">
        <x:f t="shared" si="1">ROUND(I23+H23,2)</x:f>
        <x:v>23.99</x:v>
      </x:c>
      <x:c r="K23" s="8" t="n">
        <x:f t="shared" si="2">ROUND(SUM(J23,F23:G23),2)</x:f>
        <x:v>30.86</x:v>
      </x:c>
      <x:c r="L23" s="8" t="n">
        <x:f t="shared" si="3">ROUND(SUM(C23:D23),2)</x:f>
        <x:v>0</x:v>
      </x:c>
      <x:c r="M23" s="8" t="n">
        <x:f>ROUND(C8-C23,2)</x:f>
        <x:v>10</x:v>
      </x:c>
      <x:c r="N23" s="8" t="n">
        <x:f>ROUND(E8-D23,2)</x:f>
        <x:v>0.9</x:v>
      </x:c>
      <x:c r="O23" s="8">
        <x:f t="shared" si="4"/>
        <x:v>9.06</x:v>
      </x:c>
      <x:c r="P23" s="8" t="n">
        <x:f>P8</x:f>
        <x:v>0.18</x:v>
      </x:c>
      <x:c r="Q23" s="1"/>
      <x:c r="R23" s="1"/>
    </x:row>
    <x:row r="24" ht="26" customHeight="1">
      <x:c r="A24" s="1" t="s">
        <x:v>28</x:v>
      </x:c>
      <x:c r="B24" s="1" t="s">
        <x:v>23</x:v>
      </x:c>
      <x:c r="C24" s="8" t="n">
        <x:f>ROUND(MIN(C8,INT(Calculator!$B$8/(Calculator!$B$6/Calculator!$B$7))*Calculator!$B$9*(Calculator!$B$6/Calculator!$B$7)),2)</x:f>
        <x:v>10</x:v>
      </x:c>
      <x:c r="D24" s="8" t="n">
        <x:f>IF(C8=0,0,ROUND(E8*C24/C8,2))</x:f>
        <x:v>0.9</x:v>
      </x:c>
      <x:c r="E24" s="8" t="n">
        <x:f>ROUND(B8*N8,2)+ROUND(D8*N8,2)</x:f>
        <x:v>21.8</x:v>
      </x:c>
      <x:c r="F24" s="8" t="n">
        <x:f>ROUND(I8*N8,2)+ROUND(J8*N8,2)</x:f>
        <x:v>3.73</x:v>
      </x:c>
      <x:c r="G24" s="8" t="n">
        <x:f>ROUND(K8*N8,2)+ROUND(L8*N8,2)</x:f>
        <x:v>3.14</x:v>
      </x:c>
      <x:c r="H24" s="8" t="n">
        <x:f>SUM(O8:P8)</x:f>
        <x:v>2.19</x:v>
      </x:c>
      <x:c r="I24" s="8" t="n">
        <x:f t="shared" si="0">ROUND(SUM(C24:E24),2)</x:f>
        <x:v>32.7</x:v>
      </x:c>
      <x:c r="J24" s="8" t="n">
        <x:f t="shared" si="1">ROUND(I24+H24,2)</x:f>
        <x:v>34.89</x:v>
      </x:c>
      <x:c r="K24" s="8" t="n">
        <x:f t="shared" si="2">ROUND(SUM(J24,F24:G24),2)</x:f>
        <x:v>41.76</x:v>
      </x:c>
      <x:c r="L24" s="8" t="n">
        <x:f t="shared" si="3">ROUND(SUM(C24:D24),2)</x:f>
        <x:v>10.9</x:v>
      </x:c>
      <x:c r="M24" s="8" t="n">
        <x:f>ROUND(C8-C24,2)</x:f>
        <x:v>0</x:v>
      </x:c>
      <x:c r="N24" s="8" t="n">
        <x:f>ROUND(E8-D24,2)</x:f>
        <x:v>0</x:v>
      </x:c>
      <x:c r="O24" s="8">
        <x:f t="shared" si="4"/>
        <x:v>9.06</x:v>
      </x:c>
      <x:c r="P24" s="8" t="n">
        <x:f>P8</x:f>
        <x:v>0.18</x:v>
      </x:c>
      <x:c r="Q24" s="1"/>
      <x:c r="R24" s="1"/>
    </x:row>
    <x:row r="25" ht="26" customHeight="1">
      <x:c r="A25" s="1" t="s">
        <x:v>28</x:v>
      </x:c>
      <x:c r="B25" s="1" t="s">
        <x:v>24</x:v>
      </x:c>
      <x:c r="C25" s="8" t="n">
        <x:f>ROUND(C8*N8,2)</x:f>
        <x:v>10</x:v>
      </x:c>
      <x:c r="D25" s="8" t="n">
        <x:f>IF(C8=0,0,ROUND(E8*C25/C8,2))</x:f>
        <x:v>0.9</x:v>
      </x:c>
      <x:c r="E25" s="8" t="n">
        <x:f>ROUND(B8*N8,2)+ROUND(D8*N8,2)</x:f>
        <x:v>21.8</x:v>
      </x:c>
      <x:c r="F25" s="8" t="n">
        <x:f>ROUND(I8*N8,2)+ROUND(J8*N8,2)</x:f>
        <x:v>3.73</x:v>
      </x:c>
      <x:c r="G25" s="8" t="n">
        <x:f>ROUND(K8*N8,2)+ROUND(L8*N8,2)</x:f>
        <x:v>3.14</x:v>
      </x:c>
      <x:c r="H25" s="8" t="n">
        <x:f>SUM(O8:P8)</x:f>
        <x:v>2.19</x:v>
      </x:c>
      <x:c r="I25" s="8" t="n">
        <x:f t="shared" si="0">ROUND(SUM(C25:E25),2)</x:f>
        <x:v>32.7</x:v>
      </x:c>
      <x:c r="J25" s="8" t="n">
        <x:f t="shared" si="1">ROUND(I25+H25,2)</x:f>
        <x:v>34.89</x:v>
      </x:c>
      <x:c r="K25" s="8" t="n">
        <x:f t="shared" si="2">ROUND(SUM(J25,F25:G25),2)</x:f>
        <x:v>41.76</x:v>
      </x:c>
      <x:c r="L25" s="8" t="n">
        <x:f t="shared" si="3">ROUND(SUM(C25:D25),2)</x:f>
        <x:v>10.9</x:v>
      </x:c>
      <x:c r="M25" s="8" t="n">
        <x:f>ROUND(C8-C25,2)</x:f>
        <x:v>0</x:v>
      </x:c>
      <x:c r="N25" s="8" t="n">
        <x:f>ROUND(E8-D25,2)</x:f>
        <x:v>0</x:v>
      </x:c>
      <x:c r="O25" s="8">
        <x:f t="shared" si="4"/>
        <x:v>9.06</x:v>
      </x:c>
      <x:c r="P25" s="8" t="n">
        <x:f>P8</x:f>
        <x:v>0.18</x:v>
      </x:c>
      <x:c r="Q25" s="1"/>
      <x:c r="R25" s="1"/>
    </x:row>
    <x:row r="26" ht="26" customHeight="1">
      <x:c r="A26" s="1" t="s">
        <x:v>28</x:v>
      </x:c>
      <x:c r="B26" s="1" t="s">
        <x:v>25</x:v>
      </x:c>
      <x:c r="C26" s="8" t="n">
        <x:f>ROUND(C8*N8,2)</x:f>
        <x:v>10</x:v>
      </x:c>
      <x:c r="D26" s="8" t="n">
        <x:f>IF(C8=0,0,ROUND(E8*C26/C8,2))</x:f>
        <x:v>0.9</x:v>
      </x:c>
      <x:c r="E26" s="8" t="n">
        <x:f>ROUND(B8*N8,2)+ROUND(D8*N8,2)</x:f>
        <x:v>21.8</x:v>
      </x:c>
      <x:c r="F26" s="8" t="n">
        <x:f>ROUND(I8*N8,2)+ROUND(J8*N8,2)</x:f>
        <x:v>3.73</x:v>
      </x:c>
      <x:c r="G26" s="8" t="n">
        <x:f>ROUND(K8*N8,2)+ROUND(L8*N8,2)</x:f>
        <x:v>3.14</x:v>
      </x:c>
      <x:c r="H26" s="8" t="n">
        <x:f>SUM(O8:P8)</x:f>
        <x:v>2.19</x:v>
      </x:c>
      <x:c r="I26" s="8" t="n">
        <x:f t="shared" si="0">ROUND(SUM(C26:E26),2)</x:f>
        <x:v>32.7</x:v>
      </x:c>
      <x:c r="J26" s="8" t="n">
        <x:f t="shared" si="1">ROUND(I26+H26,2)</x:f>
        <x:v>34.89</x:v>
      </x:c>
      <x:c r="K26" s="8" t="n">
        <x:f t="shared" si="2">ROUND(SUM(J26,F26:G26),2)</x:f>
        <x:v>41.76</x:v>
      </x:c>
      <x:c r="L26" s="8" t="n">
        <x:f t="shared" si="3">ROUND(SUM(C26:D26),2)</x:f>
        <x:v>10.9</x:v>
      </x:c>
      <x:c r="M26" s="8" t="n">
        <x:f>ROUND(C8-C26,2)</x:f>
        <x:v>0</x:v>
      </x:c>
      <x:c r="N26" s="8" t="n">
        <x:f>ROUND(E8-D26,2)</x:f>
        <x:v>0</x:v>
      </x:c>
      <x:c r="O26" s="8">
        <x:f t="shared" si="4"/>
        <x:v>9.06</x:v>
      </x:c>
      <x:c r="P26" s="8" t="n">
        <x:f>P8</x:f>
        <x:v>0.18</x:v>
      </x:c>
      <x:c r="Q26" s="1"/>
      <x:c r="R26" s="1"/>
    </x:row>
    <x:row r="27" ht="26" customHeight="1">
      <x:c r="A27" s="1" t="s">
        <x:v>28</x:v>
      </x:c>
      <x:c r="B27" s="1" t="s">
        <x:v>26</x:v>
      </x:c>
      <x:c r="C27" s="8" t="n">
        <x:f>ROUND(0,2)</x:f>
        <x:v>0</x:v>
      </x:c>
      <x:c r="D27" s="8" t="n">
        <x:f>IF(C8=0,0,ROUND(E8*C27/C8,2))</x:f>
        <x:v>0</x:v>
      </x:c>
      <x:c r="E27" s="8" t="n">
        <x:f>ROUND(B8*N8,2)+ROUND(D8*N8,2)</x:f>
        <x:v>21.8</x:v>
      </x:c>
      <x:c r="F27" s="8" t="n">
        <x:f>ROUND(I8*N8,2)+ROUND(J8*N8,2)</x:f>
        <x:v>3.73</x:v>
      </x:c>
      <x:c r="G27" s="8" t="n">
        <x:f>ROUND(K8*N8,2)+ROUND(L8*N8,2)</x:f>
        <x:v>3.14</x:v>
      </x:c>
      <x:c r="H27" s="8" t="n">
        <x:f>SUM(O8:P8)</x:f>
        <x:v>2.19</x:v>
      </x:c>
      <x:c r="I27" s="8" t="n">
        <x:f t="shared" si="0">ROUND(SUM(C27:E27),2)</x:f>
        <x:v>21.8</x:v>
      </x:c>
      <x:c r="J27" s="8" t="n">
        <x:f t="shared" si="1">ROUND(I27+H27,2)</x:f>
        <x:v>23.99</x:v>
      </x:c>
      <x:c r="K27" s="8" t="n">
        <x:f t="shared" si="2">ROUND(SUM(J27,F27:G27),2)</x:f>
        <x:v>30.86</x:v>
      </x:c>
      <x:c r="L27" s="8" t="n">
        <x:f t="shared" si="3">ROUND(SUM(C27:D27),2)</x:f>
        <x:v>0</x:v>
      </x:c>
      <x:c r="M27" s="8" t="n">
        <x:f>ROUND(C8-C27,2)</x:f>
        <x:v>10</x:v>
      </x:c>
      <x:c r="N27" s="8" t="n">
        <x:f>ROUND(E8-D27,2)</x:f>
        <x:v>0.9</x:v>
      </x:c>
      <x:c r="O27" s="8">
        <x:f t="shared" si="4"/>
        <x:v>9.06</x:v>
      </x:c>
      <x:c r="P27" s="8" t="n">
        <x:f>P8</x:f>
        <x:v>0.18</x:v>
      </x:c>
      <x:c r="Q27" s="1"/>
      <x:c r="R27" s="1"/>
    </x:row>
    <x:row r="28" ht="26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</x:row>
    <x:row r="29" ht="26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</x:row>
    <x:row r="30" ht="26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</x:row>
    <x:row r="31" ht="26" customHeight="1">
      <x:c r="A31" s="1" t="s">
        <x:v>56</x:v>
      </x:c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</x:row>
    <x:row r="32" ht="26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</x:row>
    <x:row r="33" ht="55" customHeight="1">
      <x:c r="A33" s="1" t="s">
        <x:v>32</x:v>
      </x:c>
      <x:c r="B33" s="9" t="s">
        <x:v>57</x:v>
      </x:c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</x:row>
    <x:row r="34" ht="55" customHeight="1">
      <x:c r="A34" s="1" t="s">
        <x:v>58</x:v>
      </x:c>
      <x:c r="B34" s="9" t="s">
        <x:v>59</x:v>
      </x:c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</x:row>
    <x:row r="35" ht="55" customHeight="1">
      <x:c r="A35" s="1" t="s">
        <x:v>18</x:v>
      </x:c>
      <x:c r="B35" s="9" t="s">
        <x:v>60</x:v>
      </x:c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</x:row>
    <x:row r="36" ht="55" customHeight="1">
      <x:c r="A36" s="1" t="s">
        <x:v>61</x:v>
      </x:c>
      <x:c r="B36" s="9" t="s">
        <x:v>62</x:v>
      </x:c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</x:row>
    <x:row r="37" ht="55" customHeight="1">
      <x:c r="A37" s="1" t="s">
        <x:v>63</x:v>
      </x:c>
      <x:c r="B37" s="9" t="s">
        <x:v>64</x:v>
      </x:c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</x:row>
    <x:row r="38" ht="55" customHeight="1">
      <x:c r="A38" s="1" t="s">
        <x:v>65</x:v>
      </x:c>
      <x:c r="B38" s="9" t="s">
        <x:v>66</x:v>
      </x:c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</x:row>
    <x:row r="39" ht="55" customHeight="1">
      <x:c r="A39" s="1" t="s">
        <x:v>24</x:v>
      </x:c>
      <x:c r="B39" s="9" t="s">
        <x:v>67</x:v>
      </x:c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</x:row>
    <x:row r="40" ht="55" customHeight="1">
      <x:c r="A40" s="1" t="s">
        <x:v>68</x:v>
      </x:c>
      <x:c r="B40" s="9" t="str">
        <x:v>Base excludes fees; Exclude Showpass adds organizer fee/tax; Full adds Showpass and processing fees/tax.</x:v>
      </x:c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</x:row>
    <x:row r="41" ht="55" customHeight="1">
      <x:c r="A41" s="1" t="s">
        <x:v>69</x:v>
      </x:c>
      <x:c r="B41" s="9" t="str">
        <x:v>Historical missing-organizer-tax display comparison is retired; it is not a current expected refund.</x:v>
      </x:c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</x:row>
    <x:row r="42" ht="55" customHeight="1">
      <x:c r="A42" s="1" t="s">
        <x:v>70</x:v>
      </x:c>
      <x:c r="B42" s="9" t="str">
        <x:v>Original user purchase rates. Refund choices reviewed in backend customer_return_amounts.py and payments/refunders/base.py, 2026-10-27.</x:v>
      </x:c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</x:row>
    <x:row r="43" ht="55" customHeight="1">
      <x:c r="A43" s="1" t="s">
        <x:v>71</x:v>
      </x:c>
      <x:c r="B43" s="9" t="str">
        <x:v>Independent first-return model. No eligibility checks, previous returns, absorbed fees, discounts or original credit funding.</x:v>
      </x:c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</x:row>
    <x:row r="44" ht="26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</x:row>
    <x:row r="45" ht="26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</x:row>
    <x:row r="46" ht="26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</x:row>
    <x:row r="47" ht="26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</x:row>
    <x:row r="48" ht="26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</x:row>
    <x:row r="49" ht="26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</x:row>
    <x:row r="50" ht="26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</x:row>
    <x:row r="51" ht="26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</x:row>
    <x:row r="52" ht="26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</x:row>
    <x:row r="53" ht="26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</x:row>
    <x:row r="54" ht="26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</x:row>
    <x:row r="55" ht="26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</x:row>
    <x:row r="56" ht="26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</x:row>
    <x:row r="57" ht="26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</x:row>
    <x:row r="58" ht="26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</x:row>
    <x:row r="59" ht="26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</x:row>
    <x:row r="60" ht="26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</x:row>
    <x:row r="61" ht="26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</x:row>
    <x:row r="62" ht="26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</x:row>
    <x:row r="63" ht="26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</x:row>
    <x:row r="64" ht="26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</x:row>
    <x:row r="65" ht="26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</x:row>
    <x:row r="66" ht="26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</x:row>
    <x:row r="67" ht="26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</x:row>
    <x:row r="68" ht="26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</x:row>
    <x:row r="69" ht="26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</x:row>
    <x:row r="70" ht="26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</x:row>
    <x:row r="71" ht="26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</x:row>
    <x:row r="72" ht="26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</x:row>
    <x:row r="73" ht="26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</x:row>
    <x:row r="74" ht="26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</x:row>
    <x:row r="75" ht="26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</x:row>
    <x:row r="76" ht="26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</x:row>
    <x:row r="77" ht="26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</x:row>
    <x:row r="78" ht="26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</x:row>
    <x:row r="79" ht="26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</x:row>
    <x:row r="80" ht="26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</x:row>
    <x:row r="81" ht="26" customHeight="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</x:row>
    <x:row r="82" ht="26" customHeight="1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</x:row>
    <x:row r="83" ht="26" customHeight="1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</x:row>
    <x:row r="84" ht="26" customHeight="1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</x:row>
    <x:row r="85" ht="26" customHeight="1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</x:row>
    <x:row r="86" ht="26" customHeight="1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</x:row>
    <x:row r="87" ht="26" customHeight="1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</x:row>
    <x:row r="88" ht="26" customHeight="1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</x:row>
    <x:row r="89" ht="26" customHeight="1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</x:row>
    <x:row r="90" ht="26" customHeight="1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</x:row>
    <x:row r="91" ht="26" customHeight="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</x:row>
    <x:row r="92" ht="26" customHeight="1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</x:row>
    <x:row r="93" ht="26" customHeight="1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</x:row>
    <x:row r="94" ht="26" customHeight="1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</x:row>
    <x:row r="95" ht="26" customHeight="1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</x:row>
    <x:row r="96" ht="26" customHeight="1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</x:row>
    <x:row r="97" ht="26" customHeight="1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</x:row>
    <x:row r="98" ht="26" customHeight="1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</x:row>
    <x:row r="99" ht="26" customHeight="1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</x:row>
    <x:row r="100" ht="26" customHeight="1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</x:row>
  </x:sheetData>
  <x:pageMargins left="0.7" right="0.7" top="0.75" bottom="0.75" header="0.3" footer="0.3"/>
</x:worksheet>
</file>