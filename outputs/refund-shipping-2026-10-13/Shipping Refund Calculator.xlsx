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ca8fa62da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c32ac51be5e04817"/>
    <x:sheet xmlns:r="http://schemas.openxmlformats.org/officeDocument/2006/relationships" name="Calculation details" sheetId="2" r:id="R794706dfb4404458"/>
  </x:sheets>
</x:workbook>
</file>

<file path=xl/sharedStrings.xml><?xml version="1.0" encoding="utf-8"?>
<x:sst xmlns:x="http://schemas.openxmlformats.org/spreadsheetml/2006/main">
  <x:si>
    <x:t xml:space="preserve">Shipping refund calculator</x:t>
  </x:si>
  <x:si>
    <x:t xml:space="preserve">Ticket price</x:t>
  </x:si>
  <x:si>
    <x:t xml:space="preserve">Change the yellow cells.</x:t>
  </x:si>
  <x:si>
    <x:t xml:space="preserve">Item / shipping HST</x:t>
  </x:si>
  <x:si>
    <x:t xml:space="preserve">Total tickets</x:t>
  </x:si>
  <x:si>
    <x:t xml:space="preserve">Groups have equal ticket quantities; use 1 for one ticket type.</x:t>
  </x:si>
  <x:si>
    <x:t xml:space="preserve">Organizer fee rate</x:t>
  </x:si>
  <x:si>
    <x:t xml:space="preserve">Ticket groups / types</x:t>
  </x:si>
  <x:si>
    <x:t xml:space="preserve">Organizer fee added</x:t>
  </x:si>
  <x:si>
    <x:t xml:space="preserve">Tickets being returned</x:t>
  </x:si>
  <x:si>
    <x:t xml:space="preserve">Flat rate: one basket charge. Per group: one charge per type.</x:t>
  </x:si>
  <x:si>
    <x:t xml:space="preserve">Showpass fee rate</x:t>
  </x:si>
  <x:si>
    <x:t xml:space="preserve">Shipping charge</x:t>
  </x:si>
  <x:si>
    <x:t xml:space="preserve">Per item: the shipping charge applies to every ticket.</x:t>
  </x:si>
  <x:si>
    <x:t xml:space="preserve">Showpass fee added</x:t>
  </x:si>
  <x:si>
    <x:t xml:space="preserve">Processing fee rate</x:t>
  </x:si>
  <x:si>
    <x:t xml:space="preserve">Processing fee added</x:t>
  </x:si>
  <x:si>
    <x:t xml:space="preserve">VAT on internal fees</x:t>
  </x:si>
  <x:si>
    <x:t xml:space="preserve">Flat rate</x:t>
  </x:si>
  <x:si>
    <x:t xml:space="preserve">Never</x:t>
  </x:si>
  <x:si>
    <x:t xml:space="preserve">After all items returned</x:t>
  </x:si>
  <x:si>
    <x:t xml:space="preserve">Proportional</x:t>
  </x:si>
  <x:si>
    <x:t xml:space="preserve">Unshipped only: not fulfilled</x:t>
  </x:si>
  <x:si>
    <x:t xml:space="preserve">Unshipped only: fulfilled</x:t>
  </x:si>
  <x:si>
    <x:t xml:space="preserve">Per group</x:t>
  </x:si>
  <x:si>
    <x:t xml:space="preserve">Per item</x:t>
  </x:si>
  <x:si>
    <x:t xml:space="preserve">Supporting calculations — itemized tickets</x:t>
  </x:si>
  <x:si>
    <x:t xml:space="preserve">Method</x:t>
  </x:si>
  <x:si>
    <x:t xml:space="preserve">Group</x:t>
  </x:si>
  <x:si>
    <x:t xml:space="preserve">Tickets</x:t>
  </x:si>
  <x:si>
    <x:t xml:space="preserve">Selected</x:t>
  </x:si>
  <x:si>
    <x:t xml:space="preserve">Shipping total</x:t>
  </x:si>
  <x:si>
    <x:t xml:space="preserve">Shipping / ticket</x:t>
  </x:si>
  <x:si>
    <x:t xml:space="preserve">Ticket HST</x:t>
  </x:si>
  <x:si>
    <x:t xml:space="preserve">Organizer fee</x:t>
  </x:si>
  <x:si>
    <x:t xml:space="preserve">Organizer HST</x:t>
  </x:si>
  <x:si>
    <x:t xml:space="preserve">Showpass fee</x:t>
  </x:si>
  <x:si>
    <x:t xml:space="preserve">Showpass VAT</x:t>
  </x:si>
  <x:si>
    <x:t xml:space="preserve">Processing fee</x:t>
  </x:si>
  <x:si>
    <x:t xml:space="preserve">Processing VAT</x:t>
  </x:si>
  <x:si>
    <x:t xml:space="preserve">Fee base</x:t>
  </x:si>
  <x:si>
    <x:t xml:space="preserve">Shipping HST total</x:t>
  </x:si>
  <x:si>
    <x:t xml:space="preserve">All purchase charges</x:t>
  </x:si>
  <x:si>
    <x:t xml:space="preserve">Showpass returned</x:t>
  </x:si>
  <x:si>
    <x:t xml:space="preserve">Processing returned</x:t>
  </x:si>
  <x:si>
    <x:t xml:space="preserve">Rule</x:t>
  </x:si>
  <x:si>
    <x:t xml:space="preserve">Shipping returned</x:t>
  </x:si>
  <x:si>
    <x:t xml:space="preserve">Shipping tax returned</x:t>
  </x:si>
  <x:si>
    <x:t xml:space="preserve">Ticket + HST</x:t>
  </x:si>
  <x:si>
    <x:t xml:space="preserve">Showpass + VAT</x:t>
  </x:si>
  <x:si>
    <x:t xml:space="preserve">Processing + VAT</x:t>
  </x:si>
  <x:si>
    <x:t xml:space="preserve">Org fee + HST</x:t>
  </x:si>
</x:sst>
</file>

<file path=xl/styles.xml><?xml version="1.0" encoding="utf-8"?>
<x:styleSheet xmlns:x="http://schemas.openxmlformats.org/spreadsheetml/2006/main">
  <x:numFmts count="2">
    <x:numFmt numFmtId="164" formatCode="\$0.00"/>
    <x:numFmt numFmtId="200" formatCode="&quot;$&quot;#,##0.00"/>
  </x:numFmts>
  <x:fonts count="6">
    <x:font>
      <x:sz val="11"/>
      <x:name val="Carlito"/>
    </x:font>
    <x:font>
      <x:sz val="11"/>
      <x:color rgb="FF253347"/>
      <x:name val="Arial"/>
    </x:font>
    <x:font>
      <x:b/>
      <x:sz val="17"/>
      <x:color rgb="FF253347"/>
      <x:name val="Arial"/>
    </x:font>
    <x:font>
      <x:b/>
      <x:sz val="11"/>
      <x:color rgb="FFFFFFFF"/>
      <x:name val="Arial"/>
    </x:font>
    <x:font>
      <x:b/>
      <x:sz val="14"/>
      <x:color rgb="FF24364B"/>
      <x:name val="Arial"/>
    </x:font>
    <x:font>
      <x:b/>
      <x:sz val="11"/>
      <x:color rgb="FF9B651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64B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5EAF0"/>
      </x:right>
      <x:top/>
      <x:bottom style="thin">
        <x:color rgb="FFE5EAF0"/>
      </x:bottom>
      <x:diagonal/>
    </x:border>
    <x:border>
      <x:left style="thin">
        <x:color rgb="FFE5EAF0"/>
      </x:left>
      <x:right style="thin">
        <x:color rgb="FFE5EAF0"/>
      </x:right>
      <x:top/>
      <x:bottom style="thin">
        <x:color rgb="FFE5EAF0"/>
      </x:bottom>
      <x:diagonal/>
    </x:border>
    <x:border>
      <x:left style="thin">
        <x:color rgb="FFE5EAF0"/>
      </x:left>
      <x:right/>
      <x:top/>
      <x:bottom style="thin">
        <x:color rgb="FFE5EAF0"/>
      </x:bottom>
      <x:diagonal/>
    </x:border>
    <x:border>
      <x:left/>
      <x:right style="thin">
        <x:color rgb="FFE5EAF0"/>
      </x:right>
      <x:top style="thin">
        <x:color rgb="FFE5EAF0"/>
      </x:top>
      <x:bottom style="thin">
        <x:color rgb="FFE5EAF0"/>
      </x:bottom>
      <x:diagonal/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E5EAF0"/>
      </x:bottom>
      <x:diagonal/>
    </x:border>
    <x:border>
      <x:left style="thin">
        <x:color rgb="FFE5EAF0"/>
      </x:left>
      <x:right/>
      <x:top style="thin">
        <x:color rgb="FFE5EAF0"/>
      </x:top>
      <x:bottom style="thin">
        <x:color rgb="FFE5EAF0"/>
      </x:bottom>
      <x:diagonal/>
    </x:border>
    <x:border>
      <x:left/>
      <x:right style="thin">
        <x:color rgb="FFE5EAF0"/>
      </x:right>
      <x:top style="thin">
        <x:color rgb="FFE5EAF0"/>
      </x:top>
      <x:bottom/>
      <x:diagonal/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/>
      <x:diagonal/>
    </x:border>
    <x:border>
      <x:left style="thin">
        <x:color rgb="FFE5EAF0"/>
      </x:left>
      <x:right/>
      <x:top style="thin">
        <x:color rgb="FFE5EAF0"/>
      </x:top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Font="1"/>
    <x:xf numFmtId="0" fontId="2" fillId="0" borderId="0" xfId="0" applyFont="1"/>
    <x:xf numFmtId="0" fontId="1" fillId="2" borderId="0" xfId="0" applyFont="1" applyFill="1"/>
    <x:xf numFmtId="164" fontId="1" fillId="2" borderId="0" xfId="0" applyNumberFormat="1" applyFont="1" applyFill="1"/>
    <x:xf numFmtId="10" fontId="1" fillId="2" borderId="0" xfId="0" applyNumberFormat="1" applyFont="1" applyFill="1"/>
    <x:xf numFmtId="0" fontId="3" fillId="3" borderId="0" xfId="0" applyFont="1" applyFill="1" applyAlignment="1">
      <x:alignment vertical="center" wrapText="1"/>
    </x:xf>
    <x:xf numFmtId="0" fontId="4" fillId="0" borderId="0" xfId="0" applyFont="1"/>
    <x:xf numFmtId="0" fontId="1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1" fillId="0" borderId="0" xfId="0" applyFont="1" applyAlignment="1">
      <x:alignment horizontal="right"/>
    </x:xf>
    <x:xf numFmtId="0" fontId="3" fillId="3" borderId="0" xfId="0" applyFont="1" applyFill="1" applyAlignment="1">
      <x:alignment horizontal="right" vertical="center" wrapText="1"/>
    </x:xf>
    <x:xf numFmtId="0" fontId="5" fillId="0" borderId="0" xfId="0" applyFont="1"/>
    <x:xf numFmtId="164" fontId="1" fillId="0" borderId="0" xfId="0" applyNumberFormat="1" applyFont="1"/>
    <x:xf numFmtId="164" fontId="3" fillId="3" borderId="0" xfId="0" applyNumberFormat="1" applyFont="1" applyFill="1" applyAlignment="1">
      <x:alignment vertical="center" wrapText="1"/>
    </x:xf>
    <x:xf numFmtId="0" fontId="1" fillId="0" borderId="1" xfId="0" applyFont="1" applyBorder="1" applyAlignment="1">
      <x:alignment wrapText="1"/>
    </x:xf>
    <x:xf numFmtId="0" fontId="1" fillId="0" borderId="2" xfId="0" applyFont="1" applyBorder="1" applyAlignment="1">
      <x:alignment horizontal="right"/>
    </x:xf>
    <x:xf numFmtId="0" fontId="1" fillId="0" borderId="3" xfId="0" applyFont="1" applyBorder="1" applyAlignment="1">
      <x:alignment horizontal="right"/>
    </x:xf>
    <x:xf numFmtId="0" fontId="1" fillId="0" borderId="4" xfId="0" applyFont="1" applyBorder="1" applyAlignment="1">
      <x:alignment wrapText="1"/>
    </x:xf>
    <x:xf numFmtId="0" fontId="1" fillId="0" borderId="5" xfId="0" applyFont="1" applyBorder="1" applyAlignment="1">
      <x:alignment horizontal="right"/>
    </x:xf>
    <x:xf numFmtId="0" fontId="1" fillId="0" borderId="6" xfId="0" applyFont="1" applyBorder="1" applyAlignment="1">
      <x:alignment horizontal="right"/>
    </x:xf>
    <x:xf numFmtId="0" fontId="1" fillId="0" borderId="7" xfId="0" applyFont="1" applyBorder="1" applyAlignment="1">
      <x:alignment wrapText="1"/>
    </x:xf>
    <x:xf numFmtId="0" fontId="1" fillId="0" borderId="8" xfId="0" applyFont="1" applyBorder="1" applyAlignment="1">
      <x:alignment horizontal="right"/>
    </x:xf>
    <x:xf numFmtId="0" fontId="1" fillId="0" borderId="9" xfId="0" applyFont="1" applyBorder="1" applyAlignment="1">
      <x:alignment horizontal="right"/>
    </x:xf>
    <x:xf numFmtId="0" fontId="1" fillId="4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right"/>
    </x:xf>
    <x:xf numFmtId="200" fontId="1" fillId="0" borderId="3" xfId="0" applyNumberFormat="1" applyFont="1" applyFill="1" applyBorder="1" applyAlignment="1">
      <x:alignment horizontal="right"/>
    </x:xf>
    <x:xf numFmtId="200" fontId="1" fillId="0" borderId="5" xfId="0" applyNumberFormat="1" applyFont="1" applyFill="1" applyBorder="1" applyAlignment="1">
      <x:alignment horizontal="right"/>
    </x:xf>
    <x:xf numFmtId="200" fontId="1" fillId="0" borderId="6" xfId="0" applyNumberFormat="1" applyFont="1" applyFill="1" applyBorder="1" applyAlignment="1">
      <x:alignment horizontal="right"/>
    </x:xf>
    <x:xf numFmtId="200" fontId="1" fillId="0" borderId="8" xfId="0" applyNumberFormat="1" applyFont="1" applyFill="1" applyBorder="1" applyAlignment="1">
      <x:alignment horizontal="right"/>
    </x:xf>
    <x:xf numFmtId="200" fontId="1" fillId="0" borderId="9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dc8793b2a489e" /><Relationship Type="http://schemas.openxmlformats.org/officeDocument/2006/relationships/theme" Target="/xl/theme/theme1.xml" Id="Red8f8f4b35cb473e" /><Relationship Type="http://schemas.openxmlformats.org/officeDocument/2006/relationships/sharedStrings" Target="/xl/sharedStrings.xml" Id="Rf156a7e223de4a16" /><Relationship Type="http://schemas.openxmlformats.org/officeDocument/2006/relationships/worksheet" Target="/xl/worksheets/sheet1.xml" Id="Rc32ac51be5e04817" /><Relationship Type="http://schemas.openxmlformats.org/officeDocument/2006/relationships/worksheet" Target="/xl/worksheets/sheet2.xml" Id="R794706dfb44044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7" customWidth="1"/>
    <x:col min="2" max="5" width="27" customWidth="1"/>
    <x:col min="6" max="6" width="3" customWidth="1"/>
    <x:col min="7" max="7" width="26" customWidth="1"/>
    <x:col min="8" max="8" width="14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5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5" customHeight="1">
      <x:c r="A3" s="1" t="str">
        <x:v>Expected customer refund (CAD). Columns use the current Automated return refund type choices.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5" customHeight="1">
      <x:c r="A5" s="1" t="s">
        <x:v>1</x:v>
      </x:c>
      <x:c r="B5" s="4">
        <x:v>20</x:v>
      </x:c>
      <x:c r="C5" s="1"/>
      <x:c r="D5" s="1" t="s">
        <x:v>2</x:v>
      </x:c>
      <x:c r="E5" s="1"/>
      <x:c r="F5" s="1"/>
      <x:c r="G5" s="1" t="s">
        <x:v>3</x:v>
      </x:c>
      <x:c r="H5" s="5">
        <x:v>0.09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5" customHeight="1">
      <x:c r="A6" s="1" t="s">
        <x:v>4</x:v>
      </x:c>
      <x:c r="B6" s="3" t="n">
        <x:v>1</x:v>
      </x:c>
      <x:c r="C6" s="1"/>
      <x:c r="D6" s="1" t="s">
        <x:v>5</x:v>
      </x:c>
      <x:c r="E6" s="1"/>
      <x:c r="F6" s="1"/>
      <x:c r="G6" s="1" t="s">
        <x:v>6</x:v>
      </x:c>
      <x:c r="H6" s="5">
        <x:v>6.7000000000000004E-2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5" customHeight="1">
      <x:c r="A7" s="1" t="s">
        <x:v>7</x:v>
      </x:c>
      <x:c r="B7" s="3" t="n">
        <x:v>1</x:v>
      </x:c>
      <x:c r="C7" s="1"/>
      <x:c r="D7" s="1" t="str">
        <x:v>First return only. Select tickets from group 1 onward.</x:v>
      </x:c>
      <x:c r="E7" s="1"/>
      <x:c r="F7" s="1"/>
      <x:c r="G7" s="1" t="s">
        <x:v>8</x:v>
      </x:c>
      <x:c r="H7" s="4">
        <x:v>0.67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5" customHeight="1">
      <x:c r="A8" s="1" t="s">
        <x:v>9</x:v>
      </x:c>
      <x:c r="B8" s="3" t="n">
        <x:v>1</x:v>
      </x:c>
      <x:c r="C8" s="1"/>
      <x:c r="D8" s="1" t="s">
        <x:v>10</x:v>
      </x:c>
      <x:c r="E8" s="1"/>
      <x:c r="F8" s="1"/>
      <x:c r="G8" s="1" t="s">
        <x:v>11</x:v>
      </x:c>
      <x:c r="H8" s="5">
        <x:v>7.0000000000000007E-2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5" customHeight="1">
      <x:c r="A9" s="1" t="s">
        <x:v>12</x:v>
      </x:c>
      <x:c r="B9" s="4">
        <x:v>10</x:v>
      </x:c>
      <x:c r="C9" s="1"/>
      <x:c r="D9" s="1" t="s">
        <x:v>13</x:v>
      </x:c>
      <x:c r="E9" s="1"/>
      <x:c r="F9" s="1"/>
      <x:c r="G9" s="1" t="s">
        <x:v>14</x:v>
      </x:c>
      <x:c r="H9" s="4">
        <x:v>0.67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5" customHeight="1">
      <x:c r="A10" s="1"/>
      <x:c r="B10" s="1"/>
      <x:c r="C10" s="1"/>
      <x:c r="D10" s="1"/>
      <x:c r="E10" s="1"/>
      <x:c r="F10" s="1"/>
      <x:c r="G10" s="1" t="s">
        <x:v>15</x:v>
      </x:c>
      <x:c r="H10" s="5">
        <x:v>0.05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5" customHeight="1">
      <x:c r="A11" s="12" t="str">
        <x:f>IF(AND(COUNT(B5:B9)=5,B5&gt;0,B6&gt;=1,B6=INT(B6),B7&gt;=1,B7&lt;=10,B7=INT(B7),B7&lt;=B6,MOD(B6,B7)=0,B8&gt;=1,B8&lt;=B6,B8=INT(B8),B9&gt;=0),"Ready — using the fee rates below","Check inputs: whole ticket counts; 1–10 equal-sized groups; return 1 to total tickets.")</x:f>
        <x:v>Ready — using the fee rates below</x:v>
      </x:c>
      <x:c r="B11" s="1"/>
      <x:c r="C11" s="1"/>
      <x:c r="D11" s="1"/>
      <x:c r="E11" s="1"/>
      <x:c r="F11" s="1"/>
      <x:c r="G11" s="1" t="s">
        <x:v>16</x:v>
      </x:c>
      <x:c r="H11" s="4">
        <x:v>0.69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5" customHeight="1">
      <x:c r="A12" s="1"/>
      <x:c r="B12" s="1"/>
      <x:c r="C12" s="1"/>
      <x:c r="D12" s="1"/>
      <x:c r="E12" s="1"/>
      <x:c r="F12" s="1"/>
      <x:c r="G12" s="1" t="s">
        <x:v>17</x:v>
      </x:c>
      <x:c r="H12" s="5">
        <x:v>0.2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5" customHeight="1">
      <x:c r="A13" s="1" t="str">
        <x:v>Automated return medium</x:v>
      </x:c>
      <x:c r="B13" s="24" t="str">
        <x:v>Organizer Credit</x:v>
      </x:c>
      <x:c r="C13" s="1"/>
      <x:c r="D13" s="1" t="str">
        <x:f>IF(B13="Organizer Credit","Destination: spending credit with this organization","Destination: original card for this card-only example")</x:f>
        <x:v>Destination: spending credit with this organization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5" customHeight="1">
      <x:c r="A14" s="1"/>
      <x:c r="B14" s="1"/>
      <x:c r="C14" s="1"/>
      <x:c r="D14" s="1"/>
      <x:c r="E14" s="1"/>
      <x:c r="F14" s="1"/>
      <x:c r="G14" s="1" t="str">
        <x:v>Rates from original purchase example.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5" customHeight="1">
      <x:c r="A16" s="7" t="s">
        <x:v>18</x:v>
      </x:c>
      <x:c r="B16" s="1"/>
      <x:c r="C16" s="1"/>
      <x:c r="D16" s="1" t="str">
        <x:f>"Original purchase total: "&amp;TEXT(SUM('Calculation details'!P6:P15),"$0.00")</x:f>
        <x:v>Original purchase total: $41.76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52" customHeight="1">
      <x:c r="A17" s="25" t="str">
        <x:v>Shipping refund rule</x:v>
      </x:c>
      <x:c r="B17" s="25" t="str">
        <x:v>Base refund</x:v>
      </x:c>
      <x:c r="C17" s="25" t="str">
        <x:v>Full refund excluding Showpass fees</x:v>
      </x:c>
      <x:c r="D17" s="25" t="str">
        <x:v>Full refund (Showpass fees invoiced)</x:v>
      </x:c>
      <x:c r="E17" s="25" t="str">
        <x:v>Shipping + tax returned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30" customHeight="1">
      <x:c r="A18" s="15" t="s">
        <x:v>19</x:v>
      </x:c>
      <x:c r="B18" s="26" t="n">
        <x:f>IF(LEFT($A$11,5)="Ready",'Calculation details'!I40,"Check inputs")</x:f>
        <x:v>21.8</x:v>
      </x:c>
      <x:c r="C18" s="26" t="n">
        <x:f>IF(LEFT($A$11,5)="Ready",'Calculation details'!J40,"Check inputs")</x:f>
        <x:v>23.99</x:v>
      </x:c>
      <x:c r="D18" s="26" t="n">
        <x:f>IF(LEFT($A$11,5)="Ready",'Calculation details'!K40,"Check inputs")</x:f>
        <x:v>30.86</x:v>
      </x:c>
      <x:c r="E18" s="27" t="n">
        <x:f>IF(LEFT($A$11,5)="Ready",'Calculation details'!L40,"Check inputs")</x:f>
        <x:v>0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30" customHeight="1">
      <x:c r="A19" s="18" t="s">
        <x:v>20</x:v>
      </x:c>
      <x:c r="B19" s="28" t="n">
        <x:f>IF(LEFT($A$11,5)="Ready",'Calculation details'!I41,"Check inputs")</x:f>
        <x:v>32.7</x:v>
      </x:c>
      <x:c r="C19" s="28" t="n">
        <x:f>IF(LEFT($A$11,5)="Ready",'Calculation details'!J41,"Check inputs")</x:f>
        <x:v>34.89</x:v>
      </x:c>
      <x:c r="D19" s="28" t="n">
        <x:f>IF(LEFT($A$11,5)="Ready",'Calculation details'!K41,"Check inputs")</x:f>
        <x:v>41.76</x:v>
      </x:c>
      <x:c r="E19" s="29" t="n">
        <x:f>IF(LEFT($A$11,5)="Ready",'Calculation details'!L41,"Check inputs")</x:f>
        <x:v>10.9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30" customHeight="1">
      <x:c r="A20" s="18" t="s">
        <x:v>21</x:v>
      </x:c>
      <x:c r="B20" s="28" t="n">
        <x:f>IF(LEFT($A$11,5)="Ready",'Calculation details'!I42,"Check inputs")</x:f>
        <x:v>32.7</x:v>
      </x:c>
      <x:c r="C20" s="28" t="n">
        <x:f>IF(LEFT($A$11,5)="Ready",'Calculation details'!J42,"Check inputs")</x:f>
        <x:v>34.89</x:v>
      </x:c>
      <x:c r="D20" s="28" t="n">
        <x:f>IF(LEFT($A$11,5)="Ready",'Calculation details'!K42,"Check inputs")</x:f>
        <x:v>41.76</x:v>
      </x:c>
      <x:c r="E20" s="29" t="n">
        <x:f>IF(LEFT($A$11,5)="Ready",'Calculation details'!L42,"Check inputs")</x:f>
        <x:v>10.9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0" customHeight="1">
      <x:c r="A21" s="18" t="s">
        <x:v>22</x:v>
      </x:c>
      <x:c r="B21" s="28" t="n">
        <x:f>IF(LEFT($A$11,5)="Ready",'Calculation details'!I43,"Check inputs")</x:f>
        <x:v>32.7</x:v>
      </x:c>
      <x:c r="C21" s="28" t="n">
        <x:f>IF(LEFT($A$11,5)="Ready",'Calculation details'!J43,"Check inputs")</x:f>
        <x:v>34.89</x:v>
      </x:c>
      <x:c r="D21" s="28" t="n">
        <x:f>IF(LEFT($A$11,5)="Ready",'Calculation details'!K43,"Check inputs")</x:f>
        <x:v>41.76</x:v>
      </x:c>
      <x:c r="E21" s="29" t="n">
        <x:f>IF(LEFT($A$11,5)="Ready",'Calculation details'!L43,"Check inputs")</x:f>
        <x:v>10.9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30" customHeight="1">
      <x:c r="A22" s="21" t="s">
        <x:v>23</x:v>
      </x:c>
      <x:c r="B22" s="30" t="n">
        <x:f>IF(LEFT($A$11,5)="Ready",'Calculation details'!I44,"Check inputs")</x:f>
        <x:v>21.8</x:v>
      </x:c>
      <x:c r="C22" s="30" t="n">
        <x:f>IF(LEFT($A$11,5)="Ready",'Calculation details'!J44,"Check inputs")</x:f>
        <x:v>23.99</x:v>
      </x:c>
      <x:c r="D22" s="30" t="n">
        <x:f>IF(LEFT($A$11,5)="Ready",'Calculation details'!K44,"Check inputs")</x:f>
        <x:v>30.86</x:v>
      </x:c>
      <x:c r="E22" s="31" t="n">
        <x:f>IF(LEFT($A$11,5)="Ready",'Calculation details'!L44,"Check inputs")</x:f>
        <x:v>0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5" customHeight="1">
      <x:c r="A23" s="8"/>
      <x:c r="B23" s="10"/>
      <x:c r="C23" s="10"/>
      <x:c r="D23" s="10"/>
      <x:c r="E23" s="10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5" customHeight="1">
      <x:c r="A24" s="8"/>
      <x:c r="B24" s="10"/>
      <x:c r="C24" s="10"/>
      <x:c r="D24" s="10"/>
      <x:c r="E24" s="10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5" customHeight="1">
      <x:c r="A25" s="8"/>
      <x:c r="B25" s="10"/>
      <x:c r="C25" s="10"/>
      <x:c r="D25" s="10"/>
      <x:c r="E25" s="10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5" customHeight="1">
      <x:c r="A26" s="9" t="s">
        <x:v>24</x:v>
      </x:c>
      <x:c r="B26" s="10"/>
      <x:c r="C26" s="10"/>
      <x:c r="D26" s="10" t="str">
        <x:f>"Original purchase total: "&amp;TEXT(SUM('Calculation details'!P16:P25),"$0.00")</x:f>
        <x:v>Original purchase total: $41.76</x:v>
      </x:c>
      <x:c r="E26" s="10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52" customHeight="1">
      <x:c r="A27" s="25" t="str">
        <x:v>Shipping refund rule</x:v>
      </x:c>
      <x:c r="B27" s="32" t="str">
        <x:v>Base refund</x:v>
      </x:c>
      <x:c r="C27" s="32" t="str">
        <x:v>Full refund excluding Showpass fees</x:v>
      </x:c>
      <x:c r="D27" s="32" t="str">
        <x:v>Full refund (Showpass fees invoiced)</x:v>
      </x:c>
      <x:c r="E27" s="32" t="str">
        <x:v>Shipping + tax returned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30" customHeight="1">
      <x:c r="A28" s="15" t="s">
        <x:v>19</x:v>
      </x:c>
      <x:c r="B28" s="26" t="n">
        <x:f>IF(LEFT($A$11,5)="Ready",'Calculation details'!I45,"Check inputs")</x:f>
        <x:v>21.8</x:v>
      </x:c>
      <x:c r="C28" s="26" t="n">
        <x:f>IF(LEFT($A$11,5)="Ready",'Calculation details'!J45,"Check inputs")</x:f>
        <x:v>23.99</x:v>
      </x:c>
      <x:c r="D28" s="26" t="n">
        <x:f>IF(LEFT($A$11,5)="Ready",'Calculation details'!K45,"Check inputs")</x:f>
        <x:v>30.86</x:v>
      </x:c>
      <x:c r="E28" s="27" t="n">
        <x:f>IF(LEFT($A$11,5)="Ready",'Calculation details'!L45,"Check inputs")</x:f>
        <x:v>0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30" customHeight="1">
      <x:c r="A29" s="18" t="s">
        <x:v>20</x:v>
      </x:c>
      <x:c r="B29" s="28" t="n">
        <x:f>IF(LEFT($A$11,5)="Ready",'Calculation details'!I46,"Check inputs")</x:f>
        <x:v>32.7</x:v>
      </x:c>
      <x:c r="C29" s="28" t="n">
        <x:f>IF(LEFT($A$11,5)="Ready",'Calculation details'!J46,"Check inputs")</x:f>
        <x:v>34.89</x:v>
      </x:c>
      <x:c r="D29" s="28" t="n">
        <x:f>IF(LEFT($A$11,5)="Ready",'Calculation details'!K46,"Check inputs")</x:f>
        <x:v>41.76</x:v>
      </x:c>
      <x:c r="E29" s="29" t="n">
        <x:f>IF(LEFT($A$11,5)="Ready",'Calculation details'!L46,"Check inputs")</x:f>
        <x:v>10.9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30" customHeight="1">
      <x:c r="A30" s="18" t="s">
        <x:v>21</x:v>
      </x:c>
      <x:c r="B30" s="28" t="n">
        <x:f>IF(LEFT($A$11,5)="Ready",'Calculation details'!I47,"Check inputs")</x:f>
        <x:v>32.7</x:v>
      </x:c>
      <x:c r="C30" s="28" t="n">
        <x:f>IF(LEFT($A$11,5)="Ready",'Calculation details'!J47,"Check inputs")</x:f>
        <x:v>34.89</x:v>
      </x:c>
      <x:c r="D30" s="28" t="n">
        <x:f>IF(LEFT($A$11,5)="Ready",'Calculation details'!K47,"Check inputs")</x:f>
        <x:v>41.76</x:v>
      </x:c>
      <x:c r="E30" s="29" t="n">
        <x:f>IF(LEFT($A$11,5)="Ready",'Calculation details'!L47,"Check inputs")</x:f>
        <x:v>10.9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30" customHeight="1">
      <x:c r="A31" s="18" t="s">
        <x:v>22</x:v>
      </x:c>
      <x:c r="B31" s="28" t="n">
        <x:f>IF(LEFT($A$11,5)="Ready",'Calculation details'!I48,"Check inputs")</x:f>
        <x:v>32.7</x:v>
      </x:c>
      <x:c r="C31" s="28" t="n">
        <x:f>IF(LEFT($A$11,5)="Ready",'Calculation details'!J48,"Check inputs")</x:f>
        <x:v>34.89</x:v>
      </x:c>
      <x:c r="D31" s="28" t="n">
        <x:f>IF(LEFT($A$11,5)="Ready",'Calculation details'!K48,"Check inputs")</x:f>
        <x:v>41.76</x:v>
      </x:c>
      <x:c r="E31" s="29" t="n">
        <x:f>IF(LEFT($A$11,5)="Ready",'Calculation details'!L48,"Check inputs")</x:f>
        <x:v>10.9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30" customHeight="1">
      <x:c r="A32" s="21" t="s">
        <x:v>23</x:v>
      </x:c>
      <x:c r="B32" s="30" t="n">
        <x:f>IF(LEFT($A$11,5)="Ready",'Calculation details'!I49,"Check inputs")</x:f>
        <x:v>21.8</x:v>
      </x:c>
      <x:c r="C32" s="30" t="n">
        <x:f>IF(LEFT($A$11,5)="Ready",'Calculation details'!J49,"Check inputs")</x:f>
        <x:v>23.99</x:v>
      </x:c>
      <x:c r="D32" s="30" t="n">
        <x:f>IF(LEFT($A$11,5)="Ready",'Calculation details'!K49,"Check inputs")</x:f>
        <x:v>30.86</x:v>
      </x:c>
      <x:c r="E32" s="31" t="n">
        <x:f>IF(LEFT($A$11,5)="Ready",'Calculation details'!L49,"Check inputs")</x:f>
        <x:v>0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5" customHeight="1">
      <x:c r="A33" s="8"/>
      <x:c r="B33" s="10"/>
      <x:c r="C33" s="10"/>
      <x:c r="D33" s="10"/>
      <x:c r="E33" s="10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5" customHeight="1">
      <x:c r="A34" s="8"/>
      <x:c r="B34" s="10"/>
      <x:c r="C34" s="10"/>
      <x:c r="D34" s="10"/>
      <x:c r="E34" s="10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5" customHeight="1">
      <x:c r="A35" s="8"/>
      <x:c r="B35" s="10"/>
      <x:c r="C35" s="10"/>
      <x:c r="D35" s="10"/>
      <x:c r="E35" s="10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5" customHeight="1">
      <x:c r="A36" s="9" t="s">
        <x:v>25</x:v>
      </x:c>
      <x:c r="B36" s="10"/>
      <x:c r="C36" s="10"/>
      <x:c r="D36" s="10" t="str">
        <x:f>"Original purchase total: "&amp;TEXT(SUM('Calculation details'!P26:P35),"$0.00")</x:f>
        <x:v>Original purchase total: $41.76</x:v>
      </x:c>
      <x:c r="E36" s="10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52" customHeight="1">
      <x:c r="A37" s="25" t="str">
        <x:v>Shipping refund rule</x:v>
      </x:c>
      <x:c r="B37" s="32" t="str">
        <x:v>Base refund</x:v>
      </x:c>
      <x:c r="C37" s="32" t="str">
        <x:v>Full refund excluding Showpass fees</x:v>
      </x:c>
      <x:c r="D37" s="32" t="str">
        <x:v>Full refund (Showpass fees invoiced)</x:v>
      </x:c>
      <x:c r="E37" s="32" t="str">
        <x:v>Shipping + tax returned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30" customHeight="1">
      <x:c r="A38" s="15" t="s">
        <x:v>19</x:v>
      </x:c>
      <x:c r="B38" s="26" t="n">
        <x:f>IF(LEFT($A$11,5)="Ready",'Calculation details'!I50,"Check inputs")</x:f>
        <x:v>21.8</x:v>
      </x:c>
      <x:c r="C38" s="26" t="n">
        <x:f>IF(LEFT($A$11,5)="Ready",'Calculation details'!J50,"Check inputs")</x:f>
        <x:v>23.99</x:v>
      </x:c>
      <x:c r="D38" s="26" t="n">
        <x:f>IF(LEFT($A$11,5)="Ready",'Calculation details'!K50,"Check inputs")</x:f>
        <x:v>30.86</x:v>
      </x:c>
      <x:c r="E38" s="27" t="n">
        <x:f>IF(LEFT($A$11,5)="Ready",'Calculation details'!L50,"Check inputs")</x:f>
        <x:v>0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30" customHeight="1">
      <x:c r="A39" s="18" t="s">
        <x:v>20</x:v>
      </x:c>
      <x:c r="B39" s="28" t="n">
        <x:f>IF(LEFT($A$11,5)="Ready",'Calculation details'!I51,"Check inputs")</x:f>
        <x:v>32.7</x:v>
      </x:c>
      <x:c r="C39" s="28" t="n">
        <x:f>IF(LEFT($A$11,5)="Ready",'Calculation details'!J51,"Check inputs")</x:f>
        <x:v>34.89</x:v>
      </x:c>
      <x:c r="D39" s="28" t="n">
        <x:f>IF(LEFT($A$11,5)="Ready",'Calculation details'!K51,"Check inputs")</x:f>
        <x:v>41.76</x:v>
      </x:c>
      <x:c r="E39" s="29" t="n">
        <x:f>IF(LEFT($A$11,5)="Ready",'Calculation details'!L51,"Check inputs")</x:f>
        <x:v>10.9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30" customHeight="1">
      <x:c r="A40" s="18" t="s">
        <x:v>21</x:v>
      </x:c>
      <x:c r="B40" s="28" t="n">
        <x:f>IF(LEFT($A$11,5)="Ready",'Calculation details'!I52,"Check inputs")</x:f>
        <x:v>32.7</x:v>
      </x:c>
      <x:c r="C40" s="28" t="n">
        <x:f>IF(LEFT($A$11,5)="Ready",'Calculation details'!J52,"Check inputs")</x:f>
        <x:v>34.89</x:v>
      </x:c>
      <x:c r="D40" s="28" t="n">
        <x:f>IF(LEFT($A$11,5)="Ready",'Calculation details'!K52,"Check inputs")</x:f>
        <x:v>41.76</x:v>
      </x:c>
      <x:c r="E40" s="29" t="n">
        <x:f>IF(LEFT($A$11,5)="Ready",'Calculation details'!L52,"Check inputs")</x:f>
        <x:v>10.9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30" customHeight="1">
      <x:c r="A41" s="18" t="s">
        <x:v>22</x:v>
      </x:c>
      <x:c r="B41" s="28" t="n">
        <x:f>IF(LEFT($A$11,5)="Ready",'Calculation details'!I53,"Check inputs")</x:f>
        <x:v>32.7</x:v>
      </x:c>
      <x:c r="C41" s="28" t="n">
        <x:f>IF(LEFT($A$11,5)="Ready",'Calculation details'!J53,"Check inputs")</x:f>
        <x:v>34.89</x:v>
      </x:c>
      <x:c r="D41" s="28" t="n">
        <x:f>IF(LEFT($A$11,5)="Ready",'Calculation details'!K53,"Check inputs")</x:f>
        <x:v>41.76</x:v>
      </x:c>
      <x:c r="E41" s="29" t="n">
        <x:f>IF(LEFT($A$11,5)="Ready",'Calculation details'!L53,"Check inputs")</x:f>
        <x:v>10.9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30" customHeight="1">
      <x:c r="A42" s="21" t="s">
        <x:v>23</x:v>
      </x:c>
      <x:c r="B42" s="30" t="n">
        <x:f>IF(LEFT($A$11,5)="Ready",'Calculation details'!I54,"Check inputs")</x:f>
        <x:v>21.8</x:v>
      </x:c>
      <x:c r="C42" s="30" t="n">
        <x:f>IF(LEFT($A$11,5)="Ready",'Calculation details'!J54,"Check inputs")</x:f>
        <x:v>23.99</x:v>
      </x:c>
      <x:c r="D42" s="30" t="n">
        <x:f>IF(LEFT($A$11,5)="Ready",'Calculation details'!K54,"Check inputs")</x:f>
        <x:v>30.86</x:v>
      </x:c>
      <x:c r="E42" s="31" t="n">
        <x:f>IF(LEFT($A$11,5)="Ready",'Calculation details'!L54,"Check inputs")</x:f>
        <x:v>0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5" customHeight="1">
      <x:c r="A47" s="1" t="str">
        <x:v>Base refund excludes customer-paid fees. Excluding Showpass adds organizer fees and their tax.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5" customHeight="1">
      <x:c r="A48" s="1" t="str">
        <x:v>Full refund returns all customer-paid fees. The organizer still owes invoiced Showpass fees.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5" customHeight="1">
      <x:c r="A49" s="1" t="str">
        <x:v>The refund method changes the destination, not these amounts, for a fully card-paid purchase.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5" customHeight="1">
      <x:c r="A50" s="1" t="str">
        <x:v>First return only; matching prices and equal groups. No credits, discounts, absorbed fees or prior returns.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5" customHeight="1">
      <x:c r="A51" s="1" t="str">
        <x:v>Shipping tax uses the original rate. Fulfilled rows assume the separate eligibility restriction allows the return.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5" customHeight="1">
      <x:c r="A52" s="1" t="str">
        <x:v>Use saved purchase amounts for final checks. These rate-based examples do not prove live refunds or settlement.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 ht="2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 ht="2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 ht="2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 ht="2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 ht="2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 ht="2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 ht="2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 ht="2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 ht="2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 ht="2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 ht="2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 ht="2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 ht="2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 ht="2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 ht="2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 ht="2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 ht="2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 ht="2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 ht="2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 ht="2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 ht="2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 ht="2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 ht="2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 ht="2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 ht="2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 ht="2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 ht="2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 ht="2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 ht="2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 ht="2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 ht="2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 ht="2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dataValidations count="2">
    <x:dataValidation type="whole" sqref="B6:B8">
      <x:formula1>1</x:formula1>
      <x:formula2>1000</x:formula2>
    </x:dataValidation>
    <x:dataValidation type="list" sqref="B13">
      <x:formula1>"Revert Funds,Organizer Credit"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7" customWidth="1"/>
    <x:col min="2" max="2" width="30" customWidth="1"/>
    <x:col min="3" max="18" width="17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5" customHeight="1">
      <x:c r="A2" s="1" t="s">
        <x:v>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5" customHeight="1">
      <x:c r="A3" s="1" t="str">
        <x:v>Per-ticket fee rounding. Equal group sizes; first return only; no discounts, absorbed fees or prior returns.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44" customHeight="1">
      <x:c r="A5" s="6" t="s">
        <x:v>27</x:v>
      </x:c>
      <x:c r="B5" s="6" t="s">
        <x:v>28</x:v>
      </x:c>
      <x:c r="C5" s="6" t="s">
        <x:v>29</x:v>
      </x:c>
      <x:c r="D5" s="6" t="s">
        <x:v>30</x:v>
      </x:c>
      <x:c r="E5" s="6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35</x:v>
      </x:c>
      <x:c r="J5" s="6" t="s">
        <x:v>36</x:v>
      </x:c>
      <x:c r="K5" s="6" t="s">
        <x:v>37</x:v>
      </x:c>
      <x:c r="L5" s="6" t="s">
        <x:v>38</x:v>
      </x:c>
      <x:c r="M5" s="6" t="s">
        <x:v>39</x:v>
      </x:c>
      <x:c r="N5" s="6" t="s">
        <x:v>40</x:v>
      </x:c>
      <x:c r="O5" s="6" t="s">
        <x:v>41</x:v>
      </x:c>
      <x:c r="P5" s="6" t="s">
        <x:v>42</x:v>
      </x:c>
      <x:c r="Q5" s="6" t="s">
        <x:v>43</x:v>
      </x:c>
      <x:c r="R5" s="6" t="s">
        <x:v>44</x:v>
      </x:c>
    </x:row>
    <x:row r="6" ht="25" customHeight="1">
      <x:c r="A6" s="1" t="s">
        <x:v>18</x:v>
      </x:c>
      <x:c r="B6" s="1">
        <x:v>1</x:v>
      </x:c>
      <x:c r="C6" s="1" t="n">
        <x:f>IF(B6&lt;=Calculator!$B$7,Calculator!$B$6/Calculator!$B$7,0)</x:f>
        <x:v>1</x:v>
      </x:c>
      <x:c r="D6" s="1" t="n">
        <x:f>MAX(0,MIN(C6,Calculator!$B$8-(B6-1)*C6))</x:f>
        <x:v>1</x:v>
      </x:c>
      <x:c r="E6" s="13" t="n">
        <x:f>IF(B6=1,Calculator!$B$9,0)</x:f>
        <x:v>10</x:v>
      </x:c>
      <x:c r="F6" s="13" t="n">
        <x:f t="shared" ref="F6:F35" si="0">IF(C6=0,0,E6/C6)</x:f>
        <x:v>10</x:v>
      </x:c>
      <x:c r="G6" s="13" t="n">
        <x:f>IF(C6=0,0,ROUND(Calculator!$B$5*Calculator!$H$5,2))</x:f>
        <x:v>1.8</x:v>
      </x:c>
      <x:c r="H6" s="13" t="n">
        <x:f>IF(C6=0,0,ROUND(Calculator!$B$5*Calculator!$H$6+Calculator!$H$7,2))</x:f>
        <x:v>2.01</x:v>
      </x:c>
      <x:c r="I6" s="13" t="n">
        <x:f>ROUND(H6*Calculator!$H$5,2)</x:f>
        <x:v>0.18</x:v>
      </x:c>
      <x:c r="J6" s="13" t="n">
        <x:f>IF(C6=0,0,ROUND(N6*Calculator!$H$8+Calculator!$H$9,2))</x:f>
        <x:v>3.11</x:v>
      </x:c>
      <x:c r="K6" s="13" t="n">
        <x:f>ROUND(J6*Calculator!$H$12,2)</x:f>
        <x:v>0.62</x:v>
      </x:c>
      <x:c r="L6" s="13" t="n">
        <x:f>IF(C6=0,0,ROUND((N6+J6+K6)*Calculator!$H$10+Calculator!$H$11,2))</x:f>
        <x:v>2.62</x:v>
      </x:c>
      <x:c r="M6" s="13" t="n">
        <x:f>ROUND(L6*Calculator!$H$12,2)</x:f>
        <x:v>0.52</x:v>
      </x:c>
      <x:c r="N6" s="13" t="n">
        <x:f>IF(C6=0,0,Calculator!$B$5+F6+H6+I6+ROUND((Calculator!$B$5+F6)*Calculator!$H$5,2))</x:f>
        <x:v>34.89</x:v>
      </x:c>
      <x:c r="O6" s="13" t="n">
        <x:f>ROUND(E6*Calculator!$H$5,2)</x:f>
        <x:v>0.9</x:v>
      </x:c>
      <x:c r="P6" s="13" t="n">
        <x:f>ROUND(C6*(Calculator!$B$5+H6+I6+J6+K6+L6+M6)+ROUND(C6*ROUND((Calculator!$B$5+F6)*Calculator!$H$5,2),2)+E6,2)</x:f>
        <x:v>41.76</x:v>
      </x:c>
      <x:c r="Q6" s="13" t="n">
        <x:f t="shared" ref="Q6:Q35" si="1">ROUND((J6+K6)*D6,2)</x:f>
        <x:v>3.73</x:v>
      </x:c>
      <x:c r="R6" s="13" t="n">
        <x:f t="shared" ref="R6:R35" si="2">ROUND((L6+M6)*D6,2)</x:f>
        <x:v>3.14</x:v>
      </x:c>
    </x:row>
    <x:row r="7" ht="25" customHeight="1">
      <x:c r="A7" s="1" t="s">
        <x:v>18</x:v>
      </x:c>
      <x:c r="B7" s="1">
        <x:v>2</x:v>
      </x:c>
      <x:c r="C7" s="1" t="n">
        <x:f>IF(B7&lt;=Calculator!$B$7,Calculator!$B$6/Calculator!$B$7,0)</x:f>
        <x:v>0</x:v>
      </x:c>
      <x:c r="D7" s="1" t="n">
        <x:f>MAX(0,MIN(C7,Calculator!$B$8-(B7-1)*C7))</x:f>
        <x:v>0</x:v>
      </x:c>
      <x:c r="E7" s="13" t="n">
        <x:f>IF(B7=1,Calculator!$B$9,0)</x:f>
        <x:v>0</x:v>
      </x:c>
      <x:c r="F7" s="13">
        <x:f t="shared" si="0"/>
        <x:v>0</x:v>
      </x:c>
      <x:c r="G7" s="13" t="n">
        <x:f>IF(C7=0,0,ROUND(Calculator!$B$5*Calculator!$H$5,2))</x:f>
        <x:v>0</x:v>
      </x:c>
      <x:c r="H7" s="13" t="n">
        <x:f>IF(C7=0,0,ROUND(Calculator!$B$5*Calculator!$H$6+Calculator!$H$7,2))</x:f>
        <x:v>0</x:v>
      </x:c>
      <x:c r="I7" s="13" t="n">
        <x:f>ROUND(H7*Calculator!$H$5,2)</x:f>
        <x:v>0</x:v>
      </x:c>
      <x:c r="J7" s="13" t="n">
        <x:f>IF(C7=0,0,ROUND(N7*Calculator!$H$8+Calculator!$H$9,2))</x:f>
        <x:v>0</x:v>
      </x:c>
      <x:c r="K7" s="13" t="n">
        <x:f>ROUND(J7*Calculator!$H$12,2)</x:f>
        <x:v>0</x:v>
      </x:c>
      <x:c r="L7" s="13" t="n">
        <x:f>IF(C7=0,0,ROUND((N7+J7+K7)*Calculator!$H$10+Calculator!$H$11,2))</x:f>
        <x:v>0</x:v>
      </x:c>
      <x:c r="M7" s="13" t="n">
        <x:f>ROUND(L7*Calculator!$H$12,2)</x:f>
        <x:v>0</x:v>
      </x:c>
      <x:c r="N7" s="13" t="n">
        <x:f>IF(C7=0,0,Calculator!$B$5+F7+H7+I7+ROUND((Calculator!$B$5+F7)*Calculator!$H$5,2))</x:f>
        <x:v>0</x:v>
      </x:c>
      <x:c r="O7" s="13" t="n">
        <x:f>ROUND(E7*Calculator!$H$5,2)</x:f>
        <x:v>0</x:v>
      </x:c>
      <x:c r="P7" s="13" t="n">
        <x:f>ROUND(C7*(Calculator!$B$5+H7+I7+J7+K7+L7+M7)+ROUND(C7*ROUND((Calculator!$B$5+F7)*Calculator!$H$5,2),2)+E7,2)</x:f>
        <x:v>0</x:v>
      </x:c>
      <x:c r="Q7" s="13">
        <x:f t="shared" si="1"/>
        <x:v>0</x:v>
      </x:c>
      <x:c r="R7" s="13">
        <x:f t="shared" si="2"/>
        <x:v>0</x:v>
      </x:c>
    </x:row>
    <x:row r="8" ht="25" customHeight="1">
      <x:c r="A8" s="1" t="s">
        <x:v>18</x:v>
      </x:c>
      <x:c r="B8" s="1">
        <x:v>3</x:v>
      </x:c>
      <x:c r="C8" s="1" t="n">
        <x:f>IF(B8&lt;=Calculator!$B$7,Calculator!$B$6/Calculator!$B$7,0)</x:f>
        <x:v>0</x:v>
      </x:c>
      <x:c r="D8" s="1" t="n">
        <x:f>MAX(0,MIN(C8,Calculator!$B$8-(B8-1)*C8))</x:f>
        <x:v>0</x:v>
      </x:c>
      <x:c r="E8" s="13" t="n">
        <x:f>IF(B8=1,Calculator!$B$9,0)</x:f>
        <x:v>0</x:v>
      </x:c>
      <x:c r="F8" s="13">
        <x:f t="shared" si="0"/>
        <x:v>0</x:v>
      </x:c>
      <x:c r="G8" s="13" t="n">
        <x:f>IF(C8=0,0,ROUND(Calculator!$B$5*Calculator!$H$5,2))</x:f>
        <x:v>0</x:v>
      </x:c>
      <x:c r="H8" s="13" t="n">
        <x:f>IF(C8=0,0,ROUND(Calculator!$B$5*Calculator!$H$6+Calculator!$H$7,2))</x:f>
        <x:v>0</x:v>
      </x:c>
      <x:c r="I8" s="13" t="n">
        <x:f>ROUND(H8*Calculator!$H$5,2)</x:f>
        <x:v>0</x:v>
      </x:c>
      <x:c r="J8" s="13" t="n">
        <x:f>IF(C8=0,0,ROUND(N8*Calculator!$H$8+Calculator!$H$9,2))</x:f>
        <x:v>0</x:v>
      </x:c>
      <x:c r="K8" s="13" t="n">
        <x:f>ROUND(J8*Calculator!$H$12,2)</x:f>
        <x:v>0</x:v>
      </x:c>
      <x:c r="L8" s="13" t="n">
        <x:f>IF(C8=0,0,ROUND((N8+J8+K8)*Calculator!$H$10+Calculator!$H$11,2))</x:f>
        <x:v>0</x:v>
      </x:c>
      <x:c r="M8" s="13" t="n">
        <x:f>ROUND(L8*Calculator!$H$12,2)</x:f>
        <x:v>0</x:v>
      </x:c>
      <x:c r="N8" s="13" t="n">
        <x:f>IF(C8=0,0,Calculator!$B$5+F8+H8+I8+ROUND((Calculator!$B$5+F8)*Calculator!$H$5,2))</x:f>
        <x:v>0</x:v>
      </x:c>
      <x:c r="O8" s="13" t="n">
        <x:f>ROUND(E8*Calculator!$H$5,2)</x:f>
        <x:v>0</x:v>
      </x:c>
      <x:c r="P8" s="13" t="n">
        <x:f>ROUND(C8*(Calculator!$B$5+H8+I8+J8+K8+L8+M8)+ROUND(C8*ROUND((Calculator!$B$5+F8)*Calculator!$H$5,2),2)+E8,2)</x:f>
        <x:v>0</x:v>
      </x:c>
      <x:c r="Q8" s="13">
        <x:f t="shared" si="1"/>
        <x:v>0</x:v>
      </x:c>
      <x:c r="R8" s="13">
        <x:f t="shared" si="2"/>
        <x:v>0</x:v>
      </x:c>
    </x:row>
    <x:row r="9" ht="25" customHeight="1">
      <x:c r="A9" s="1" t="s">
        <x:v>18</x:v>
      </x:c>
      <x:c r="B9" s="1">
        <x:v>4</x:v>
      </x:c>
      <x:c r="C9" s="1" t="n">
        <x:f>IF(B9&lt;=Calculator!$B$7,Calculator!$B$6/Calculator!$B$7,0)</x:f>
        <x:v>0</x:v>
      </x:c>
      <x:c r="D9" s="1" t="n">
        <x:f>MAX(0,MIN(C9,Calculator!$B$8-(B9-1)*C9))</x:f>
        <x:v>0</x:v>
      </x:c>
      <x:c r="E9" s="13" t="n">
        <x:f>IF(B9=1,Calculator!$B$9,0)</x:f>
        <x:v>0</x:v>
      </x:c>
      <x:c r="F9" s="13">
        <x:f t="shared" si="0"/>
        <x:v>0</x:v>
      </x:c>
      <x:c r="G9" s="13" t="n">
        <x:f>IF(C9=0,0,ROUND(Calculator!$B$5*Calculator!$H$5,2))</x:f>
        <x:v>0</x:v>
      </x:c>
      <x:c r="H9" s="13" t="n">
        <x:f>IF(C9=0,0,ROUND(Calculator!$B$5*Calculator!$H$6+Calculator!$H$7,2))</x:f>
        <x:v>0</x:v>
      </x:c>
      <x:c r="I9" s="13" t="n">
        <x:f>ROUND(H9*Calculator!$H$5,2)</x:f>
        <x:v>0</x:v>
      </x:c>
      <x:c r="J9" s="13" t="n">
        <x:f>IF(C9=0,0,ROUND(N9*Calculator!$H$8+Calculator!$H$9,2))</x:f>
        <x:v>0</x:v>
      </x:c>
      <x:c r="K9" s="13" t="n">
        <x:f>ROUND(J9*Calculator!$H$12,2)</x:f>
        <x:v>0</x:v>
      </x:c>
      <x:c r="L9" s="13" t="n">
        <x:f>IF(C9=0,0,ROUND((N9+J9+K9)*Calculator!$H$10+Calculator!$H$11,2))</x:f>
        <x:v>0</x:v>
      </x:c>
      <x:c r="M9" s="13" t="n">
        <x:f>ROUND(L9*Calculator!$H$12,2)</x:f>
        <x:v>0</x:v>
      </x:c>
      <x:c r="N9" s="13" t="n">
        <x:f>IF(C9=0,0,Calculator!$B$5+F9+H9+I9+ROUND((Calculator!$B$5+F9)*Calculator!$H$5,2))</x:f>
        <x:v>0</x:v>
      </x:c>
      <x:c r="O9" s="13" t="n">
        <x:f>ROUND(E9*Calculator!$H$5,2)</x:f>
        <x:v>0</x:v>
      </x:c>
      <x:c r="P9" s="13" t="n">
        <x:f>ROUND(C9*(Calculator!$B$5+H9+I9+J9+K9+L9+M9)+ROUND(C9*ROUND((Calculator!$B$5+F9)*Calculator!$H$5,2),2)+E9,2)</x:f>
        <x:v>0</x:v>
      </x:c>
      <x:c r="Q9" s="13">
        <x:f t="shared" si="1"/>
        <x:v>0</x:v>
      </x:c>
      <x:c r="R9" s="13">
        <x:f t="shared" si="2"/>
        <x:v>0</x:v>
      </x:c>
    </x:row>
    <x:row r="10" ht="25" customHeight="1">
      <x:c r="A10" s="1" t="s">
        <x:v>18</x:v>
      </x:c>
      <x:c r="B10" s="1">
        <x:v>5</x:v>
      </x:c>
      <x:c r="C10" s="1" t="n">
        <x:f>IF(B10&lt;=Calculator!$B$7,Calculator!$B$6/Calculator!$B$7,0)</x:f>
        <x:v>0</x:v>
      </x:c>
      <x:c r="D10" s="1" t="n">
        <x:f>MAX(0,MIN(C10,Calculator!$B$8-(B10-1)*C10))</x:f>
        <x:v>0</x:v>
      </x:c>
      <x:c r="E10" s="13" t="n">
        <x:f>IF(B10=1,Calculator!$B$9,0)</x:f>
        <x:v>0</x:v>
      </x:c>
      <x:c r="F10" s="13">
        <x:f t="shared" si="0"/>
        <x:v>0</x:v>
      </x:c>
      <x:c r="G10" s="13" t="n">
        <x:f>IF(C10=0,0,ROUND(Calculator!$B$5*Calculator!$H$5,2))</x:f>
        <x:v>0</x:v>
      </x:c>
      <x:c r="H10" s="13" t="n">
        <x:f>IF(C10=0,0,ROUND(Calculator!$B$5*Calculator!$H$6+Calculator!$H$7,2))</x:f>
        <x:v>0</x:v>
      </x:c>
      <x:c r="I10" s="13" t="n">
        <x:f>ROUND(H10*Calculator!$H$5,2)</x:f>
        <x:v>0</x:v>
      </x:c>
      <x:c r="J10" s="13" t="n">
        <x:f>IF(C10=0,0,ROUND(N10*Calculator!$H$8+Calculator!$H$9,2))</x:f>
        <x:v>0</x:v>
      </x:c>
      <x:c r="K10" s="13" t="n">
        <x:f>ROUND(J10*Calculator!$H$12,2)</x:f>
        <x:v>0</x:v>
      </x:c>
      <x:c r="L10" s="13" t="n">
        <x:f>IF(C10=0,0,ROUND((N10+J10+K10)*Calculator!$H$10+Calculator!$H$11,2))</x:f>
        <x:v>0</x:v>
      </x:c>
      <x:c r="M10" s="13" t="n">
        <x:f>ROUND(L10*Calculator!$H$12,2)</x:f>
        <x:v>0</x:v>
      </x:c>
      <x:c r="N10" s="13" t="n">
        <x:f>IF(C10=0,0,Calculator!$B$5+F10+H10+I10+ROUND((Calculator!$B$5+F10)*Calculator!$H$5,2))</x:f>
        <x:v>0</x:v>
      </x:c>
      <x:c r="O10" s="13" t="n">
        <x:f>ROUND(E10*Calculator!$H$5,2)</x:f>
        <x:v>0</x:v>
      </x:c>
      <x:c r="P10" s="13" t="n">
        <x:f>ROUND(C10*(Calculator!$B$5+H10+I10+J10+K10+L10+M10)+ROUND(C10*ROUND((Calculator!$B$5+F10)*Calculator!$H$5,2),2)+E10,2)</x:f>
        <x:v>0</x:v>
      </x:c>
      <x:c r="Q10" s="13">
        <x:f t="shared" si="1"/>
        <x:v>0</x:v>
      </x:c>
      <x:c r="R10" s="13">
        <x:f t="shared" si="2"/>
        <x:v>0</x:v>
      </x:c>
    </x:row>
    <x:row r="11" ht="25" customHeight="1">
      <x:c r="A11" s="1" t="s">
        <x:v>18</x:v>
      </x:c>
      <x:c r="B11" s="1">
        <x:v>6</x:v>
      </x:c>
      <x:c r="C11" s="1" t="n">
        <x:f>IF(B11&lt;=Calculator!$B$7,Calculator!$B$6/Calculator!$B$7,0)</x:f>
        <x:v>0</x:v>
      </x:c>
      <x:c r="D11" s="1" t="n">
        <x:f>MAX(0,MIN(C11,Calculator!$B$8-(B11-1)*C11))</x:f>
        <x:v>0</x:v>
      </x:c>
      <x:c r="E11" s="13" t="n">
        <x:f>IF(B11=1,Calculator!$B$9,0)</x:f>
        <x:v>0</x:v>
      </x:c>
      <x:c r="F11" s="13">
        <x:f t="shared" si="0"/>
        <x:v>0</x:v>
      </x:c>
      <x:c r="G11" s="13" t="n">
        <x:f>IF(C11=0,0,ROUND(Calculator!$B$5*Calculator!$H$5,2))</x:f>
        <x:v>0</x:v>
      </x:c>
      <x:c r="H11" s="13" t="n">
        <x:f>IF(C11=0,0,ROUND(Calculator!$B$5*Calculator!$H$6+Calculator!$H$7,2))</x:f>
        <x:v>0</x:v>
      </x:c>
      <x:c r="I11" s="13" t="n">
        <x:f>ROUND(H11*Calculator!$H$5,2)</x:f>
        <x:v>0</x:v>
      </x:c>
      <x:c r="J11" s="13" t="n">
        <x:f>IF(C11=0,0,ROUND(N11*Calculator!$H$8+Calculator!$H$9,2))</x:f>
        <x:v>0</x:v>
      </x:c>
      <x:c r="K11" s="13" t="n">
        <x:f>ROUND(J11*Calculator!$H$12,2)</x:f>
        <x:v>0</x:v>
      </x:c>
      <x:c r="L11" s="13" t="n">
        <x:f>IF(C11=0,0,ROUND((N11+J11+K11)*Calculator!$H$10+Calculator!$H$11,2))</x:f>
        <x:v>0</x:v>
      </x:c>
      <x:c r="M11" s="13" t="n">
        <x:f>ROUND(L11*Calculator!$H$12,2)</x:f>
        <x:v>0</x:v>
      </x:c>
      <x:c r="N11" s="13" t="n">
        <x:f>IF(C11=0,0,Calculator!$B$5+F11+H11+I11+ROUND((Calculator!$B$5+F11)*Calculator!$H$5,2))</x:f>
        <x:v>0</x:v>
      </x:c>
      <x:c r="O11" s="13" t="n">
        <x:f>ROUND(E11*Calculator!$H$5,2)</x:f>
        <x:v>0</x:v>
      </x:c>
      <x:c r="P11" s="13" t="n">
        <x:f>ROUND(C11*(Calculator!$B$5+H11+I11+J11+K11+L11+M11)+ROUND(C11*ROUND((Calculator!$B$5+F11)*Calculator!$H$5,2),2)+E11,2)</x:f>
        <x:v>0</x:v>
      </x:c>
      <x:c r="Q11" s="13">
        <x:f t="shared" si="1"/>
        <x:v>0</x:v>
      </x:c>
      <x:c r="R11" s="13">
        <x:f t="shared" si="2"/>
        <x:v>0</x:v>
      </x:c>
    </x:row>
    <x:row r="12" ht="25" customHeight="1">
      <x:c r="A12" s="1" t="s">
        <x:v>18</x:v>
      </x:c>
      <x:c r="B12" s="1">
        <x:v>7</x:v>
      </x:c>
      <x:c r="C12" s="1" t="n">
        <x:f>IF(B12&lt;=Calculator!$B$7,Calculator!$B$6/Calculator!$B$7,0)</x:f>
        <x:v>0</x:v>
      </x:c>
      <x:c r="D12" s="1" t="n">
        <x:f>MAX(0,MIN(C12,Calculator!$B$8-(B12-1)*C12))</x:f>
        <x:v>0</x:v>
      </x:c>
      <x:c r="E12" s="13" t="n">
        <x:f>IF(B12=1,Calculator!$B$9,0)</x:f>
        <x:v>0</x:v>
      </x:c>
      <x:c r="F12" s="13">
        <x:f t="shared" si="0"/>
        <x:v>0</x:v>
      </x:c>
      <x:c r="G12" s="13" t="n">
        <x:f>IF(C12=0,0,ROUND(Calculator!$B$5*Calculator!$H$5,2))</x:f>
        <x:v>0</x:v>
      </x:c>
      <x:c r="H12" s="13" t="n">
        <x:f>IF(C12=0,0,ROUND(Calculator!$B$5*Calculator!$H$6+Calculator!$H$7,2))</x:f>
        <x:v>0</x:v>
      </x:c>
      <x:c r="I12" s="13" t="n">
        <x:f>ROUND(H12*Calculator!$H$5,2)</x:f>
        <x:v>0</x:v>
      </x:c>
      <x:c r="J12" s="13" t="n">
        <x:f>IF(C12=0,0,ROUND(N12*Calculator!$H$8+Calculator!$H$9,2))</x:f>
        <x:v>0</x:v>
      </x:c>
      <x:c r="K12" s="13" t="n">
        <x:f>ROUND(J12*Calculator!$H$12,2)</x:f>
        <x:v>0</x:v>
      </x:c>
      <x:c r="L12" s="13" t="n">
        <x:f>IF(C12=0,0,ROUND((N12+J12+K12)*Calculator!$H$10+Calculator!$H$11,2))</x:f>
        <x:v>0</x:v>
      </x:c>
      <x:c r="M12" s="13" t="n">
        <x:f>ROUND(L12*Calculator!$H$12,2)</x:f>
        <x:v>0</x:v>
      </x:c>
      <x:c r="N12" s="13" t="n">
        <x:f>IF(C12=0,0,Calculator!$B$5+F12+H12+I12+ROUND((Calculator!$B$5+F12)*Calculator!$H$5,2))</x:f>
        <x:v>0</x:v>
      </x:c>
      <x:c r="O12" s="13" t="n">
        <x:f>ROUND(E12*Calculator!$H$5,2)</x:f>
        <x:v>0</x:v>
      </x:c>
      <x:c r="P12" s="13" t="n">
        <x:f>ROUND(C12*(Calculator!$B$5+H12+I12+J12+K12+L12+M12)+ROUND(C12*ROUND((Calculator!$B$5+F12)*Calculator!$H$5,2),2)+E12,2)</x:f>
        <x:v>0</x:v>
      </x:c>
      <x:c r="Q12" s="13">
        <x:f t="shared" si="1"/>
        <x:v>0</x:v>
      </x:c>
      <x:c r="R12" s="13">
        <x:f t="shared" si="2"/>
        <x:v>0</x:v>
      </x:c>
    </x:row>
    <x:row r="13" ht="25" customHeight="1">
      <x:c r="A13" s="1" t="s">
        <x:v>18</x:v>
      </x:c>
      <x:c r="B13" s="1">
        <x:v>8</x:v>
      </x:c>
      <x:c r="C13" s="1" t="n">
        <x:f>IF(B13&lt;=Calculator!$B$7,Calculator!$B$6/Calculator!$B$7,0)</x:f>
        <x:v>0</x:v>
      </x:c>
      <x:c r="D13" s="1" t="n">
        <x:f>MAX(0,MIN(C13,Calculator!$B$8-(B13-1)*C13))</x:f>
        <x:v>0</x:v>
      </x:c>
      <x:c r="E13" s="13" t="n">
        <x:f>IF(B13=1,Calculator!$B$9,0)</x:f>
        <x:v>0</x:v>
      </x:c>
      <x:c r="F13" s="13">
        <x:f t="shared" si="0"/>
        <x:v>0</x:v>
      </x:c>
      <x:c r="G13" s="13" t="n">
        <x:f>IF(C13=0,0,ROUND(Calculator!$B$5*Calculator!$H$5,2))</x:f>
        <x:v>0</x:v>
      </x:c>
      <x:c r="H13" s="13" t="n">
        <x:f>IF(C13=0,0,ROUND(Calculator!$B$5*Calculator!$H$6+Calculator!$H$7,2))</x:f>
        <x:v>0</x:v>
      </x:c>
      <x:c r="I13" s="13" t="n">
        <x:f>ROUND(H13*Calculator!$H$5,2)</x:f>
        <x:v>0</x:v>
      </x:c>
      <x:c r="J13" s="13" t="n">
        <x:f>IF(C13=0,0,ROUND(N13*Calculator!$H$8+Calculator!$H$9,2))</x:f>
        <x:v>0</x:v>
      </x:c>
      <x:c r="K13" s="13" t="n">
        <x:f>ROUND(J13*Calculator!$H$12,2)</x:f>
        <x:v>0</x:v>
      </x:c>
      <x:c r="L13" s="13" t="n">
        <x:f>IF(C13=0,0,ROUND((N13+J13+K13)*Calculator!$H$10+Calculator!$H$11,2))</x:f>
        <x:v>0</x:v>
      </x:c>
      <x:c r="M13" s="13" t="n">
        <x:f>ROUND(L13*Calculator!$H$12,2)</x:f>
        <x:v>0</x:v>
      </x:c>
      <x:c r="N13" s="13" t="n">
        <x:f>IF(C13=0,0,Calculator!$B$5+F13+H13+I13+ROUND((Calculator!$B$5+F13)*Calculator!$H$5,2))</x:f>
        <x:v>0</x:v>
      </x:c>
      <x:c r="O13" s="13" t="n">
        <x:f>ROUND(E13*Calculator!$H$5,2)</x:f>
        <x:v>0</x:v>
      </x:c>
      <x:c r="P13" s="13" t="n">
        <x:f>ROUND(C13*(Calculator!$B$5+H13+I13+J13+K13+L13+M13)+ROUND(C13*ROUND((Calculator!$B$5+F13)*Calculator!$H$5,2),2)+E13,2)</x:f>
        <x:v>0</x:v>
      </x:c>
      <x:c r="Q13" s="13">
        <x:f t="shared" si="1"/>
        <x:v>0</x:v>
      </x:c>
      <x:c r="R13" s="13">
        <x:f t="shared" si="2"/>
        <x:v>0</x:v>
      </x:c>
    </x:row>
    <x:row r="14" ht="25" customHeight="1">
      <x:c r="A14" s="1" t="s">
        <x:v>18</x:v>
      </x:c>
      <x:c r="B14" s="1">
        <x:v>9</x:v>
      </x:c>
      <x:c r="C14" s="1" t="n">
        <x:f>IF(B14&lt;=Calculator!$B$7,Calculator!$B$6/Calculator!$B$7,0)</x:f>
        <x:v>0</x:v>
      </x:c>
      <x:c r="D14" s="1" t="n">
        <x:f>MAX(0,MIN(C14,Calculator!$B$8-(B14-1)*C14))</x:f>
        <x:v>0</x:v>
      </x:c>
      <x:c r="E14" s="13" t="n">
        <x:f>IF(B14=1,Calculator!$B$9,0)</x:f>
        <x:v>0</x:v>
      </x:c>
      <x:c r="F14" s="13">
        <x:f t="shared" si="0"/>
        <x:v>0</x:v>
      </x:c>
      <x:c r="G14" s="13" t="n">
        <x:f>IF(C14=0,0,ROUND(Calculator!$B$5*Calculator!$H$5,2))</x:f>
        <x:v>0</x:v>
      </x:c>
      <x:c r="H14" s="13" t="n">
        <x:f>IF(C14=0,0,ROUND(Calculator!$B$5*Calculator!$H$6+Calculator!$H$7,2))</x:f>
        <x:v>0</x:v>
      </x:c>
      <x:c r="I14" s="13" t="n">
        <x:f>ROUND(H14*Calculator!$H$5,2)</x:f>
        <x:v>0</x:v>
      </x:c>
      <x:c r="J14" s="13" t="n">
        <x:f>IF(C14=0,0,ROUND(N14*Calculator!$H$8+Calculator!$H$9,2))</x:f>
        <x:v>0</x:v>
      </x:c>
      <x:c r="K14" s="13" t="n">
        <x:f>ROUND(J14*Calculator!$H$12,2)</x:f>
        <x:v>0</x:v>
      </x:c>
      <x:c r="L14" s="13" t="n">
        <x:f>IF(C14=0,0,ROUND((N14+J14+K14)*Calculator!$H$10+Calculator!$H$11,2))</x:f>
        <x:v>0</x:v>
      </x:c>
      <x:c r="M14" s="13" t="n">
        <x:f>ROUND(L14*Calculator!$H$12,2)</x:f>
        <x:v>0</x:v>
      </x:c>
      <x:c r="N14" s="13" t="n">
        <x:f>IF(C14=0,0,Calculator!$B$5+F14+H14+I14+ROUND((Calculator!$B$5+F14)*Calculator!$H$5,2))</x:f>
        <x:v>0</x:v>
      </x:c>
      <x:c r="O14" s="13" t="n">
        <x:f>ROUND(E14*Calculator!$H$5,2)</x:f>
        <x:v>0</x:v>
      </x:c>
      <x:c r="P14" s="13" t="n">
        <x:f>ROUND(C14*(Calculator!$B$5+H14+I14+J14+K14+L14+M14)+ROUND(C14*ROUND((Calculator!$B$5+F14)*Calculator!$H$5,2),2)+E14,2)</x:f>
        <x:v>0</x:v>
      </x:c>
      <x:c r="Q14" s="13">
        <x:f t="shared" si="1"/>
        <x:v>0</x:v>
      </x:c>
      <x:c r="R14" s="13">
        <x:f t="shared" si="2"/>
        <x:v>0</x:v>
      </x:c>
    </x:row>
    <x:row r="15" ht="25" customHeight="1">
      <x:c r="A15" s="1" t="s">
        <x:v>18</x:v>
      </x:c>
      <x:c r="B15" s="1">
        <x:v>10</x:v>
      </x:c>
      <x:c r="C15" s="1" t="n">
        <x:f>IF(B15&lt;=Calculator!$B$7,Calculator!$B$6/Calculator!$B$7,0)</x:f>
        <x:v>0</x:v>
      </x:c>
      <x:c r="D15" s="1" t="n">
        <x:f>MAX(0,MIN(C15,Calculator!$B$8-(B15-1)*C15))</x:f>
        <x:v>0</x:v>
      </x:c>
      <x:c r="E15" s="13" t="n">
        <x:f>IF(B15=1,Calculator!$B$9,0)</x:f>
        <x:v>0</x:v>
      </x:c>
      <x:c r="F15" s="13">
        <x:f t="shared" si="0"/>
        <x:v>0</x:v>
      </x:c>
      <x:c r="G15" s="13" t="n">
        <x:f>IF(C15=0,0,ROUND(Calculator!$B$5*Calculator!$H$5,2))</x:f>
        <x:v>0</x:v>
      </x:c>
      <x:c r="H15" s="13" t="n">
        <x:f>IF(C15=0,0,ROUND(Calculator!$B$5*Calculator!$H$6+Calculator!$H$7,2))</x:f>
        <x:v>0</x:v>
      </x:c>
      <x:c r="I15" s="13" t="n">
        <x:f>ROUND(H15*Calculator!$H$5,2)</x:f>
        <x:v>0</x:v>
      </x:c>
      <x:c r="J15" s="13" t="n">
        <x:f>IF(C15=0,0,ROUND(N15*Calculator!$H$8+Calculator!$H$9,2))</x:f>
        <x:v>0</x:v>
      </x:c>
      <x:c r="K15" s="13" t="n">
        <x:f>ROUND(J15*Calculator!$H$12,2)</x:f>
        <x:v>0</x:v>
      </x:c>
      <x:c r="L15" s="13" t="n">
        <x:f>IF(C15=0,0,ROUND((N15+J15+K15)*Calculator!$H$10+Calculator!$H$11,2))</x:f>
        <x:v>0</x:v>
      </x:c>
      <x:c r="M15" s="13" t="n">
        <x:f>ROUND(L15*Calculator!$H$12,2)</x:f>
        <x:v>0</x:v>
      </x:c>
      <x:c r="N15" s="13" t="n">
        <x:f>IF(C15=0,0,Calculator!$B$5+F15+H15+I15+ROUND((Calculator!$B$5+F15)*Calculator!$H$5,2))</x:f>
        <x:v>0</x:v>
      </x:c>
      <x:c r="O15" s="13" t="n">
        <x:f>ROUND(E15*Calculator!$H$5,2)</x:f>
        <x:v>0</x:v>
      </x:c>
      <x:c r="P15" s="13" t="n">
        <x:f>ROUND(C15*(Calculator!$B$5+H15+I15+J15+K15+L15+M15)+ROUND(C15*ROUND((Calculator!$B$5+F15)*Calculator!$H$5,2),2)+E15,2)</x:f>
        <x:v>0</x:v>
      </x:c>
      <x:c r="Q15" s="13">
        <x:f t="shared" si="1"/>
        <x:v>0</x:v>
      </x:c>
      <x:c r="R15" s="13">
        <x:f t="shared" si="2"/>
        <x:v>0</x:v>
      </x:c>
    </x:row>
    <x:row r="16" ht="25" customHeight="1">
      <x:c r="A16" s="1" t="s">
        <x:v>24</x:v>
      </x:c>
      <x:c r="B16" s="1">
        <x:v>1</x:v>
      </x:c>
      <x:c r="C16" s="1" t="n">
        <x:f>IF(B16&lt;=Calculator!$B$7,Calculator!$B$6/Calculator!$B$7,0)</x:f>
        <x:v>1</x:v>
      </x:c>
      <x:c r="D16" s="1" t="n">
        <x:f>MAX(0,MIN(C16,Calculator!$B$8-(B16-1)*C16))</x:f>
        <x:v>1</x:v>
      </x:c>
      <x:c r="E16" s="13" t="n">
        <x:f>IF(C16&gt;0,Calculator!$B$9,0)</x:f>
        <x:v>10</x:v>
      </x:c>
      <x:c r="F16" s="13">
        <x:f t="shared" si="0"/>
        <x:v>10</x:v>
      </x:c>
      <x:c r="G16" s="13" t="n">
        <x:f>IF(C16=0,0,ROUND(Calculator!$B$5*Calculator!$H$5,2))</x:f>
        <x:v>1.8</x:v>
      </x:c>
      <x:c r="H16" s="13" t="n">
        <x:f>IF(C16=0,0,ROUND(Calculator!$B$5*Calculator!$H$6+Calculator!$H$7,2))</x:f>
        <x:v>2.01</x:v>
      </x:c>
      <x:c r="I16" s="13" t="n">
        <x:f>ROUND(H16*Calculator!$H$5,2)</x:f>
        <x:v>0.18</x:v>
      </x:c>
      <x:c r="J16" s="13" t="n">
        <x:f>IF(C16=0,0,ROUND(N16*Calculator!$H$8+Calculator!$H$9,2))</x:f>
        <x:v>3.11</x:v>
      </x:c>
      <x:c r="K16" s="13" t="n">
        <x:f>ROUND(J16*Calculator!$H$12,2)</x:f>
        <x:v>0.62</x:v>
      </x:c>
      <x:c r="L16" s="13" t="n">
        <x:f>IF(C16=0,0,ROUND((N16+J16+K16)*Calculator!$H$10+Calculator!$H$11,2))</x:f>
        <x:v>2.62</x:v>
      </x:c>
      <x:c r="M16" s="13" t="n">
        <x:f>ROUND(L16*Calculator!$H$12,2)</x:f>
        <x:v>0.52</x:v>
      </x:c>
      <x:c r="N16" s="13" t="n">
        <x:f>IF(C16=0,0,Calculator!$B$5+F16+H16+I16+ROUND((Calculator!$B$5+F16)*Calculator!$H$5,2))</x:f>
        <x:v>34.89</x:v>
      </x:c>
      <x:c r="O16" s="13" t="n">
        <x:f>ROUND(E16*Calculator!$H$5,2)</x:f>
        <x:v>0.9</x:v>
      </x:c>
      <x:c r="P16" s="13" t="n">
        <x:f>ROUND(C16*(Calculator!$B$5+H16+I16+J16+K16+L16+M16)+ROUND(C16*ROUND((Calculator!$B$5+F16)*Calculator!$H$5,2),2)+E16,2)</x:f>
        <x:v>41.76</x:v>
      </x:c>
      <x:c r="Q16" s="13">
        <x:f t="shared" si="1"/>
        <x:v>3.73</x:v>
      </x:c>
      <x:c r="R16" s="13">
        <x:f t="shared" si="2"/>
        <x:v>3.14</x:v>
      </x:c>
    </x:row>
    <x:row r="17" ht="25" customHeight="1">
      <x:c r="A17" s="1" t="s">
        <x:v>24</x:v>
      </x:c>
      <x:c r="B17" s="1">
        <x:v>2</x:v>
      </x:c>
      <x:c r="C17" s="1" t="n">
        <x:f>IF(B17&lt;=Calculator!$B$7,Calculator!$B$6/Calculator!$B$7,0)</x:f>
        <x:v>0</x:v>
      </x:c>
      <x:c r="D17" s="1" t="n">
        <x:f>MAX(0,MIN(C17,Calculator!$B$8-(B17-1)*C17))</x:f>
        <x:v>0</x:v>
      </x:c>
      <x:c r="E17" s="13" t="n">
        <x:f>IF(C17&gt;0,Calculator!$B$9,0)</x:f>
        <x:v>0</x:v>
      </x:c>
      <x:c r="F17" s="13">
        <x:f t="shared" si="0"/>
        <x:v>0</x:v>
      </x:c>
      <x:c r="G17" s="13" t="n">
        <x:f>IF(C17=0,0,ROUND(Calculator!$B$5*Calculator!$H$5,2))</x:f>
        <x:v>0</x:v>
      </x:c>
      <x:c r="H17" s="13" t="n">
        <x:f>IF(C17=0,0,ROUND(Calculator!$B$5*Calculator!$H$6+Calculator!$H$7,2))</x:f>
        <x:v>0</x:v>
      </x:c>
      <x:c r="I17" s="13" t="n">
        <x:f>ROUND(H17*Calculator!$H$5,2)</x:f>
        <x:v>0</x:v>
      </x:c>
      <x:c r="J17" s="13" t="n">
        <x:f>IF(C17=0,0,ROUND(N17*Calculator!$H$8+Calculator!$H$9,2))</x:f>
        <x:v>0</x:v>
      </x:c>
      <x:c r="K17" s="13" t="n">
        <x:f>ROUND(J17*Calculator!$H$12,2)</x:f>
        <x:v>0</x:v>
      </x:c>
      <x:c r="L17" s="13" t="n">
        <x:f>IF(C17=0,0,ROUND((N17+J17+K17)*Calculator!$H$10+Calculator!$H$11,2))</x:f>
        <x:v>0</x:v>
      </x:c>
      <x:c r="M17" s="13" t="n">
        <x:f>ROUND(L17*Calculator!$H$12,2)</x:f>
        <x:v>0</x:v>
      </x:c>
      <x:c r="N17" s="13" t="n">
        <x:f>IF(C17=0,0,Calculator!$B$5+F17+H17+I17+ROUND((Calculator!$B$5+F17)*Calculator!$H$5,2))</x:f>
        <x:v>0</x:v>
      </x:c>
      <x:c r="O17" s="13" t="n">
        <x:f>ROUND(E17*Calculator!$H$5,2)</x:f>
        <x:v>0</x:v>
      </x:c>
      <x:c r="P17" s="13" t="n">
        <x:f>ROUND(C17*(Calculator!$B$5+H17+I17+J17+K17+L17+M17)+ROUND(C17*ROUND((Calculator!$B$5+F17)*Calculator!$H$5,2),2)+E17,2)</x:f>
        <x:v>0</x:v>
      </x:c>
      <x:c r="Q17" s="13">
        <x:f t="shared" si="1"/>
        <x:v>0</x:v>
      </x:c>
      <x:c r="R17" s="13">
        <x:f t="shared" si="2"/>
        <x:v>0</x:v>
      </x:c>
    </x:row>
    <x:row r="18" ht="25" customHeight="1">
      <x:c r="A18" s="1" t="s">
        <x:v>24</x:v>
      </x:c>
      <x:c r="B18" s="1">
        <x:v>3</x:v>
      </x:c>
      <x:c r="C18" s="1" t="n">
        <x:f>IF(B18&lt;=Calculator!$B$7,Calculator!$B$6/Calculator!$B$7,0)</x:f>
        <x:v>0</x:v>
      </x:c>
      <x:c r="D18" s="1" t="n">
        <x:f>MAX(0,MIN(C18,Calculator!$B$8-(B18-1)*C18))</x:f>
        <x:v>0</x:v>
      </x:c>
      <x:c r="E18" s="13" t="n">
        <x:f>IF(C18&gt;0,Calculator!$B$9,0)</x:f>
        <x:v>0</x:v>
      </x:c>
      <x:c r="F18" s="13">
        <x:f t="shared" si="0"/>
        <x:v>0</x:v>
      </x:c>
      <x:c r="G18" s="13" t="n">
        <x:f>IF(C18=0,0,ROUND(Calculator!$B$5*Calculator!$H$5,2))</x:f>
        <x:v>0</x:v>
      </x:c>
      <x:c r="H18" s="13" t="n">
        <x:f>IF(C18=0,0,ROUND(Calculator!$B$5*Calculator!$H$6+Calculator!$H$7,2))</x:f>
        <x:v>0</x:v>
      </x:c>
      <x:c r="I18" s="13" t="n">
        <x:f>ROUND(H18*Calculator!$H$5,2)</x:f>
        <x:v>0</x:v>
      </x:c>
      <x:c r="J18" s="13" t="n">
        <x:f>IF(C18=0,0,ROUND(N18*Calculator!$H$8+Calculator!$H$9,2))</x:f>
        <x:v>0</x:v>
      </x:c>
      <x:c r="K18" s="13" t="n">
        <x:f>ROUND(J18*Calculator!$H$12,2)</x:f>
        <x:v>0</x:v>
      </x:c>
      <x:c r="L18" s="13" t="n">
        <x:f>IF(C18=0,0,ROUND((N18+J18+K18)*Calculator!$H$10+Calculator!$H$11,2))</x:f>
        <x:v>0</x:v>
      </x:c>
      <x:c r="M18" s="13" t="n">
        <x:f>ROUND(L18*Calculator!$H$12,2)</x:f>
        <x:v>0</x:v>
      </x:c>
      <x:c r="N18" s="13" t="n">
        <x:f>IF(C18=0,0,Calculator!$B$5+F18+H18+I18+ROUND((Calculator!$B$5+F18)*Calculator!$H$5,2))</x:f>
        <x:v>0</x:v>
      </x:c>
      <x:c r="O18" s="13" t="n">
        <x:f>ROUND(E18*Calculator!$H$5,2)</x:f>
        <x:v>0</x:v>
      </x:c>
      <x:c r="P18" s="13" t="n">
        <x:f>ROUND(C18*(Calculator!$B$5+H18+I18+J18+K18+L18+M18)+ROUND(C18*ROUND((Calculator!$B$5+F18)*Calculator!$H$5,2),2)+E18,2)</x:f>
        <x:v>0</x:v>
      </x:c>
      <x:c r="Q18" s="13">
        <x:f t="shared" si="1"/>
        <x:v>0</x:v>
      </x:c>
      <x:c r="R18" s="13">
        <x:f t="shared" si="2"/>
        <x:v>0</x:v>
      </x:c>
    </x:row>
    <x:row r="19" ht="25" customHeight="1">
      <x:c r="A19" s="1" t="s">
        <x:v>24</x:v>
      </x:c>
      <x:c r="B19" s="1">
        <x:v>4</x:v>
      </x:c>
      <x:c r="C19" s="1" t="n">
        <x:f>IF(B19&lt;=Calculator!$B$7,Calculator!$B$6/Calculator!$B$7,0)</x:f>
        <x:v>0</x:v>
      </x:c>
      <x:c r="D19" s="1" t="n">
        <x:f>MAX(0,MIN(C19,Calculator!$B$8-(B19-1)*C19))</x:f>
        <x:v>0</x:v>
      </x:c>
      <x:c r="E19" s="13" t="n">
        <x:f>IF(C19&gt;0,Calculator!$B$9,0)</x:f>
        <x:v>0</x:v>
      </x:c>
      <x:c r="F19" s="13">
        <x:f t="shared" si="0"/>
        <x:v>0</x:v>
      </x:c>
      <x:c r="G19" s="13" t="n">
        <x:f>IF(C19=0,0,ROUND(Calculator!$B$5*Calculator!$H$5,2))</x:f>
        <x:v>0</x:v>
      </x:c>
      <x:c r="H19" s="13" t="n">
        <x:f>IF(C19=0,0,ROUND(Calculator!$B$5*Calculator!$H$6+Calculator!$H$7,2))</x:f>
        <x:v>0</x:v>
      </x:c>
      <x:c r="I19" s="13" t="n">
        <x:f>ROUND(H19*Calculator!$H$5,2)</x:f>
        <x:v>0</x:v>
      </x:c>
      <x:c r="J19" s="13" t="n">
        <x:f>IF(C19=0,0,ROUND(N19*Calculator!$H$8+Calculator!$H$9,2))</x:f>
        <x:v>0</x:v>
      </x:c>
      <x:c r="K19" s="13" t="n">
        <x:f>ROUND(J19*Calculator!$H$12,2)</x:f>
        <x:v>0</x:v>
      </x:c>
      <x:c r="L19" s="13" t="n">
        <x:f>IF(C19=0,0,ROUND((N19+J19+K19)*Calculator!$H$10+Calculator!$H$11,2))</x:f>
        <x:v>0</x:v>
      </x:c>
      <x:c r="M19" s="13" t="n">
        <x:f>ROUND(L19*Calculator!$H$12,2)</x:f>
        <x:v>0</x:v>
      </x:c>
      <x:c r="N19" s="13" t="n">
        <x:f>IF(C19=0,0,Calculator!$B$5+F19+H19+I19+ROUND((Calculator!$B$5+F19)*Calculator!$H$5,2))</x:f>
        <x:v>0</x:v>
      </x:c>
      <x:c r="O19" s="13" t="n">
        <x:f>ROUND(E19*Calculator!$H$5,2)</x:f>
        <x:v>0</x:v>
      </x:c>
      <x:c r="P19" s="13" t="n">
        <x:f>ROUND(C19*(Calculator!$B$5+H19+I19+J19+K19+L19+M19)+ROUND(C19*ROUND((Calculator!$B$5+F19)*Calculator!$H$5,2),2)+E19,2)</x:f>
        <x:v>0</x:v>
      </x:c>
      <x:c r="Q19" s="13">
        <x:f t="shared" si="1"/>
        <x:v>0</x:v>
      </x:c>
      <x:c r="R19" s="13">
        <x:f t="shared" si="2"/>
        <x:v>0</x:v>
      </x:c>
    </x:row>
    <x:row r="20" ht="25" customHeight="1">
      <x:c r="A20" s="1" t="s">
        <x:v>24</x:v>
      </x:c>
      <x:c r="B20" s="1">
        <x:v>5</x:v>
      </x:c>
      <x:c r="C20" s="1" t="n">
        <x:f>IF(B20&lt;=Calculator!$B$7,Calculator!$B$6/Calculator!$B$7,0)</x:f>
        <x:v>0</x:v>
      </x:c>
      <x:c r="D20" s="1" t="n">
        <x:f>MAX(0,MIN(C20,Calculator!$B$8-(B20-1)*C20))</x:f>
        <x:v>0</x:v>
      </x:c>
      <x:c r="E20" s="13" t="n">
        <x:f>IF(C20&gt;0,Calculator!$B$9,0)</x:f>
        <x:v>0</x:v>
      </x:c>
      <x:c r="F20" s="13">
        <x:f t="shared" si="0"/>
        <x:v>0</x:v>
      </x:c>
      <x:c r="G20" s="13" t="n">
        <x:f>IF(C20=0,0,ROUND(Calculator!$B$5*Calculator!$H$5,2))</x:f>
        <x:v>0</x:v>
      </x:c>
      <x:c r="H20" s="13" t="n">
        <x:f>IF(C20=0,0,ROUND(Calculator!$B$5*Calculator!$H$6+Calculator!$H$7,2))</x:f>
        <x:v>0</x:v>
      </x:c>
      <x:c r="I20" s="13" t="n">
        <x:f>ROUND(H20*Calculator!$H$5,2)</x:f>
        <x:v>0</x:v>
      </x:c>
      <x:c r="J20" s="13" t="n">
        <x:f>IF(C20=0,0,ROUND(N20*Calculator!$H$8+Calculator!$H$9,2))</x:f>
        <x:v>0</x:v>
      </x:c>
      <x:c r="K20" s="13" t="n">
        <x:f>ROUND(J20*Calculator!$H$12,2)</x:f>
        <x:v>0</x:v>
      </x:c>
      <x:c r="L20" s="13" t="n">
        <x:f>IF(C20=0,0,ROUND((N20+J20+K20)*Calculator!$H$10+Calculator!$H$11,2))</x:f>
        <x:v>0</x:v>
      </x:c>
      <x:c r="M20" s="13" t="n">
        <x:f>ROUND(L20*Calculator!$H$12,2)</x:f>
        <x:v>0</x:v>
      </x:c>
      <x:c r="N20" s="13" t="n">
        <x:f>IF(C20=0,0,Calculator!$B$5+F20+H20+I20+ROUND((Calculator!$B$5+F20)*Calculator!$H$5,2))</x:f>
        <x:v>0</x:v>
      </x:c>
      <x:c r="O20" s="13" t="n">
        <x:f>ROUND(E20*Calculator!$H$5,2)</x:f>
        <x:v>0</x:v>
      </x:c>
      <x:c r="P20" s="13" t="n">
        <x:f>ROUND(C20*(Calculator!$B$5+H20+I20+J20+K20+L20+M20)+ROUND(C20*ROUND((Calculator!$B$5+F20)*Calculator!$H$5,2),2)+E20,2)</x:f>
        <x:v>0</x:v>
      </x:c>
      <x:c r="Q20" s="13">
        <x:f t="shared" si="1"/>
        <x:v>0</x:v>
      </x:c>
      <x:c r="R20" s="13">
        <x:f t="shared" si="2"/>
        <x:v>0</x:v>
      </x:c>
    </x:row>
    <x:row r="21" ht="25" customHeight="1">
      <x:c r="A21" s="1" t="s">
        <x:v>24</x:v>
      </x:c>
      <x:c r="B21" s="1">
        <x:v>6</x:v>
      </x:c>
      <x:c r="C21" s="1" t="n">
        <x:f>IF(B21&lt;=Calculator!$B$7,Calculator!$B$6/Calculator!$B$7,0)</x:f>
        <x:v>0</x:v>
      </x:c>
      <x:c r="D21" s="1" t="n">
        <x:f>MAX(0,MIN(C21,Calculator!$B$8-(B21-1)*C21))</x:f>
        <x:v>0</x:v>
      </x:c>
      <x:c r="E21" s="13" t="n">
        <x:f>IF(C21&gt;0,Calculator!$B$9,0)</x:f>
        <x:v>0</x:v>
      </x:c>
      <x:c r="F21" s="13">
        <x:f t="shared" si="0"/>
        <x:v>0</x:v>
      </x:c>
      <x:c r="G21" s="13" t="n">
        <x:f>IF(C21=0,0,ROUND(Calculator!$B$5*Calculator!$H$5,2))</x:f>
        <x:v>0</x:v>
      </x:c>
      <x:c r="H21" s="13" t="n">
        <x:f>IF(C21=0,0,ROUND(Calculator!$B$5*Calculator!$H$6+Calculator!$H$7,2))</x:f>
        <x:v>0</x:v>
      </x:c>
      <x:c r="I21" s="13" t="n">
        <x:f>ROUND(H21*Calculator!$H$5,2)</x:f>
        <x:v>0</x:v>
      </x:c>
      <x:c r="J21" s="13" t="n">
        <x:f>IF(C21=0,0,ROUND(N21*Calculator!$H$8+Calculator!$H$9,2))</x:f>
        <x:v>0</x:v>
      </x:c>
      <x:c r="K21" s="13" t="n">
        <x:f>ROUND(J21*Calculator!$H$12,2)</x:f>
        <x:v>0</x:v>
      </x:c>
      <x:c r="L21" s="13" t="n">
        <x:f>IF(C21=0,0,ROUND((N21+J21+K21)*Calculator!$H$10+Calculator!$H$11,2))</x:f>
        <x:v>0</x:v>
      </x:c>
      <x:c r="M21" s="13" t="n">
        <x:f>ROUND(L21*Calculator!$H$12,2)</x:f>
        <x:v>0</x:v>
      </x:c>
      <x:c r="N21" s="13" t="n">
        <x:f>IF(C21=0,0,Calculator!$B$5+F21+H21+I21+ROUND((Calculator!$B$5+F21)*Calculator!$H$5,2))</x:f>
        <x:v>0</x:v>
      </x:c>
      <x:c r="O21" s="13" t="n">
        <x:f>ROUND(E21*Calculator!$H$5,2)</x:f>
        <x:v>0</x:v>
      </x:c>
      <x:c r="P21" s="13" t="n">
        <x:f>ROUND(C21*(Calculator!$B$5+H21+I21+J21+K21+L21+M21)+ROUND(C21*ROUND((Calculator!$B$5+F21)*Calculator!$H$5,2),2)+E21,2)</x:f>
        <x:v>0</x:v>
      </x:c>
      <x:c r="Q21" s="13">
        <x:f t="shared" si="1"/>
        <x:v>0</x:v>
      </x:c>
      <x:c r="R21" s="13">
        <x:f t="shared" si="2"/>
        <x:v>0</x:v>
      </x:c>
    </x:row>
    <x:row r="22" ht="25" customHeight="1">
      <x:c r="A22" s="1" t="s">
        <x:v>24</x:v>
      </x:c>
      <x:c r="B22" s="1">
        <x:v>7</x:v>
      </x:c>
      <x:c r="C22" s="1" t="n">
        <x:f>IF(B22&lt;=Calculator!$B$7,Calculator!$B$6/Calculator!$B$7,0)</x:f>
        <x:v>0</x:v>
      </x:c>
      <x:c r="D22" s="1" t="n">
        <x:f>MAX(0,MIN(C22,Calculator!$B$8-(B22-1)*C22))</x:f>
        <x:v>0</x:v>
      </x:c>
      <x:c r="E22" s="13" t="n">
        <x:f>IF(C22&gt;0,Calculator!$B$9,0)</x:f>
        <x:v>0</x:v>
      </x:c>
      <x:c r="F22" s="13">
        <x:f t="shared" si="0"/>
        <x:v>0</x:v>
      </x:c>
      <x:c r="G22" s="13" t="n">
        <x:f>IF(C22=0,0,ROUND(Calculator!$B$5*Calculator!$H$5,2))</x:f>
        <x:v>0</x:v>
      </x:c>
      <x:c r="H22" s="13" t="n">
        <x:f>IF(C22=0,0,ROUND(Calculator!$B$5*Calculator!$H$6+Calculator!$H$7,2))</x:f>
        <x:v>0</x:v>
      </x:c>
      <x:c r="I22" s="13" t="n">
        <x:f>ROUND(H22*Calculator!$H$5,2)</x:f>
        <x:v>0</x:v>
      </x:c>
      <x:c r="J22" s="13" t="n">
        <x:f>IF(C22=0,0,ROUND(N22*Calculator!$H$8+Calculator!$H$9,2))</x:f>
        <x:v>0</x:v>
      </x:c>
      <x:c r="K22" s="13" t="n">
        <x:f>ROUND(J22*Calculator!$H$12,2)</x:f>
        <x:v>0</x:v>
      </x:c>
      <x:c r="L22" s="13" t="n">
        <x:f>IF(C22=0,0,ROUND((N22+J22+K22)*Calculator!$H$10+Calculator!$H$11,2))</x:f>
        <x:v>0</x:v>
      </x:c>
      <x:c r="M22" s="13" t="n">
        <x:f>ROUND(L22*Calculator!$H$12,2)</x:f>
        <x:v>0</x:v>
      </x:c>
      <x:c r="N22" s="13" t="n">
        <x:f>IF(C22=0,0,Calculator!$B$5+F22+H22+I22+ROUND((Calculator!$B$5+F22)*Calculator!$H$5,2))</x:f>
        <x:v>0</x:v>
      </x:c>
      <x:c r="O22" s="13" t="n">
        <x:f>ROUND(E22*Calculator!$H$5,2)</x:f>
        <x:v>0</x:v>
      </x:c>
      <x:c r="P22" s="13" t="n">
        <x:f>ROUND(C22*(Calculator!$B$5+H22+I22+J22+K22+L22+M22)+ROUND(C22*ROUND((Calculator!$B$5+F22)*Calculator!$H$5,2),2)+E22,2)</x:f>
        <x:v>0</x:v>
      </x:c>
      <x:c r="Q22" s="13">
        <x:f t="shared" si="1"/>
        <x:v>0</x:v>
      </x:c>
      <x:c r="R22" s="13">
        <x:f t="shared" si="2"/>
        <x:v>0</x:v>
      </x:c>
    </x:row>
    <x:row r="23" ht="25" customHeight="1">
      <x:c r="A23" s="1" t="s">
        <x:v>24</x:v>
      </x:c>
      <x:c r="B23" s="1">
        <x:v>8</x:v>
      </x:c>
      <x:c r="C23" s="1" t="n">
        <x:f>IF(B23&lt;=Calculator!$B$7,Calculator!$B$6/Calculator!$B$7,0)</x:f>
        <x:v>0</x:v>
      </x:c>
      <x:c r="D23" s="1" t="n">
        <x:f>MAX(0,MIN(C23,Calculator!$B$8-(B23-1)*C23))</x:f>
        <x:v>0</x:v>
      </x:c>
      <x:c r="E23" s="13" t="n">
        <x:f>IF(C23&gt;0,Calculator!$B$9,0)</x:f>
        <x:v>0</x:v>
      </x:c>
      <x:c r="F23" s="13">
        <x:f t="shared" si="0"/>
        <x:v>0</x:v>
      </x:c>
      <x:c r="G23" s="13" t="n">
        <x:f>IF(C23=0,0,ROUND(Calculator!$B$5*Calculator!$H$5,2))</x:f>
        <x:v>0</x:v>
      </x:c>
      <x:c r="H23" s="13" t="n">
        <x:f>IF(C23=0,0,ROUND(Calculator!$B$5*Calculator!$H$6+Calculator!$H$7,2))</x:f>
        <x:v>0</x:v>
      </x:c>
      <x:c r="I23" s="13" t="n">
        <x:f>ROUND(H23*Calculator!$H$5,2)</x:f>
        <x:v>0</x:v>
      </x:c>
      <x:c r="J23" s="13" t="n">
        <x:f>IF(C23=0,0,ROUND(N23*Calculator!$H$8+Calculator!$H$9,2))</x:f>
        <x:v>0</x:v>
      </x:c>
      <x:c r="K23" s="13" t="n">
        <x:f>ROUND(J23*Calculator!$H$12,2)</x:f>
        <x:v>0</x:v>
      </x:c>
      <x:c r="L23" s="13" t="n">
        <x:f>IF(C23=0,0,ROUND((N23+J23+K23)*Calculator!$H$10+Calculator!$H$11,2))</x:f>
        <x:v>0</x:v>
      </x:c>
      <x:c r="M23" s="13" t="n">
        <x:f>ROUND(L23*Calculator!$H$12,2)</x:f>
        <x:v>0</x:v>
      </x:c>
      <x:c r="N23" s="13" t="n">
        <x:f>IF(C23=0,0,Calculator!$B$5+F23+H23+I23+ROUND((Calculator!$B$5+F23)*Calculator!$H$5,2))</x:f>
        <x:v>0</x:v>
      </x:c>
      <x:c r="O23" s="13" t="n">
        <x:f>ROUND(E23*Calculator!$H$5,2)</x:f>
        <x:v>0</x:v>
      </x:c>
      <x:c r="P23" s="13" t="n">
        <x:f>ROUND(C23*(Calculator!$B$5+H23+I23+J23+K23+L23+M23)+ROUND(C23*ROUND((Calculator!$B$5+F23)*Calculator!$H$5,2),2)+E23,2)</x:f>
        <x:v>0</x:v>
      </x:c>
      <x:c r="Q23" s="13">
        <x:f t="shared" si="1"/>
        <x:v>0</x:v>
      </x:c>
      <x:c r="R23" s="13">
        <x:f t="shared" si="2"/>
        <x:v>0</x:v>
      </x:c>
    </x:row>
    <x:row r="24" ht="25" customHeight="1">
      <x:c r="A24" s="1" t="s">
        <x:v>24</x:v>
      </x:c>
      <x:c r="B24" s="1">
        <x:v>9</x:v>
      </x:c>
      <x:c r="C24" s="1" t="n">
        <x:f>IF(B24&lt;=Calculator!$B$7,Calculator!$B$6/Calculator!$B$7,0)</x:f>
        <x:v>0</x:v>
      </x:c>
      <x:c r="D24" s="1" t="n">
        <x:f>MAX(0,MIN(C24,Calculator!$B$8-(B24-1)*C24))</x:f>
        <x:v>0</x:v>
      </x:c>
      <x:c r="E24" s="13" t="n">
        <x:f>IF(C24&gt;0,Calculator!$B$9,0)</x:f>
        <x:v>0</x:v>
      </x:c>
      <x:c r="F24" s="13">
        <x:f t="shared" si="0"/>
        <x:v>0</x:v>
      </x:c>
      <x:c r="G24" s="13" t="n">
        <x:f>IF(C24=0,0,ROUND(Calculator!$B$5*Calculator!$H$5,2))</x:f>
        <x:v>0</x:v>
      </x:c>
      <x:c r="H24" s="13" t="n">
        <x:f>IF(C24=0,0,ROUND(Calculator!$B$5*Calculator!$H$6+Calculator!$H$7,2))</x:f>
        <x:v>0</x:v>
      </x:c>
      <x:c r="I24" s="13" t="n">
        <x:f>ROUND(H24*Calculator!$H$5,2)</x:f>
        <x:v>0</x:v>
      </x:c>
      <x:c r="J24" s="13" t="n">
        <x:f>IF(C24=0,0,ROUND(N24*Calculator!$H$8+Calculator!$H$9,2))</x:f>
        <x:v>0</x:v>
      </x:c>
      <x:c r="K24" s="13" t="n">
        <x:f>ROUND(J24*Calculator!$H$12,2)</x:f>
        <x:v>0</x:v>
      </x:c>
      <x:c r="L24" s="13" t="n">
        <x:f>IF(C24=0,0,ROUND((N24+J24+K24)*Calculator!$H$10+Calculator!$H$11,2))</x:f>
        <x:v>0</x:v>
      </x:c>
      <x:c r="M24" s="13" t="n">
        <x:f>ROUND(L24*Calculator!$H$12,2)</x:f>
        <x:v>0</x:v>
      </x:c>
      <x:c r="N24" s="13" t="n">
        <x:f>IF(C24=0,0,Calculator!$B$5+F24+H24+I24+ROUND((Calculator!$B$5+F24)*Calculator!$H$5,2))</x:f>
        <x:v>0</x:v>
      </x:c>
      <x:c r="O24" s="13" t="n">
        <x:f>ROUND(E24*Calculator!$H$5,2)</x:f>
        <x:v>0</x:v>
      </x:c>
      <x:c r="P24" s="13" t="n">
        <x:f>ROUND(C24*(Calculator!$B$5+H24+I24+J24+K24+L24+M24)+ROUND(C24*ROUND((Calculator!$B$5+F24)*Calculator!$H$5,2),2)+E24,2)</x:f>
        <x:v>0</x:v>
      </x:c>
      <x:c r="Q24" s="13">
        <x:f t="shared" si="1"/>
        <x:v>0</x:v>
      </x:c>
      <x:c r="R24" s="13">
        <x:f t="shared" si="2"/>
        <x:v>0</x:v>
      </x:c>
    </x:row>
    <x:row r="25" ht="25" customHeight="1">
      <x:c r="A25" s="1" t="s">
        <x:v>24</x:v>
      </x:c>
      <x:c r="B25" s="1">
        <x:v>10</x:v>
      </x:c>
      <x:c r="C25" s="1" t="n">
        <x:f>IF(B25&lt;=Calculator!$B$7,Calculator!$B$6/Calculator!$B$7,0)</x:f>
        <x:v>0</x:v>
      </x:c>
      <x:c r="D25" s="1" t="n">
        <x:f>MAX(0,MIN(C25,Calculator!$B$8-(B25-1)*C25))</x:f>
        <x:v>0</x:v>
      </x:c>
      <x:c r="E25" s="13" t="n">
        <x:f>IF(C25&gt;0,Calculator!$B$9,0)</x:f>
        <x:v>0</x:v>
      </x:c>
      <x:c r="F25" s="13">
        <x:f t="shared" si="0"/>
        <x:v>0</x:v>
      </x:c>
      <x:c r="G25" s="13" t="n">
        <x:f>IF(C25=0,0,ROUND(Calculator!$B$5*Calculator!$H$5,2))</x:f>
        <x:v>0</x:v>
      </x:c>
      <x:c r="H25" s="13" t="n">
        <x:f>IF(C25=0,0,ROUND(Calculator!$B$5*Calculator!$H$6+Calculator!$H$7,2))</x:f>
        <x:v>0</x:v>
      </x:c>
      <x:c r="I25" s="13" t="n">
        <x:f>ROUND(H25*Calculator!$H$5,2)</x:f>
        <x:v>0</x:v>
      </x:c>
      <x:c r="J25" s="13" t="n">
        <x:f>IF(C25=0,0,ROUND(N25*Calculator!$H$8+Calculator!$H$9,2))</x:f>
        <x:v>0</x:v>
      </x:c>
      <x:c r="K25" s="13" t="n">
        <x:f>ROUND(J25*Calculator!$H$12,2)</x:f>
        <x:v>0</x:v>
      </x:c>
      <x:c r="L25" s="13" t="n">
        <x:f>IF(C25=0,0,ROUND((N25+J25+K25)*Calculator!$H$10+Calculator!$H$11,2))</x:f>
        <x:v>0</x:v>
      </x:c>
      <x:c r="M25" s="13" t="n">
        <x:f>ROUND(L25*Calculator!$H$12,2)</x:f>
        <x:v>0</x:v>
      </x:c>
      <x:c r="N25" s="13" t="n">
        <x:f>IF(C25=0,0,Calculator!$B$5+F25+H25+I25+ROUND((Calculator!$B$5+F25)*Calculator!$H$5,2))</x:f>
        <x:v>0</x:v>
      </x:c>
      <x:c r="O25" s="13" t="n">
        <x:f>ROUND(E25*Calculator!$H$5,2)</x:f>
        <x:v>0</x:v>
      </x:c>
      <x:c r="P25" s="13" t="n">
        <x:f>ROUND(C25*(Calculator!$B$5+H25+I25+J25+K25+L25+M25)+ROUND(C25*ROUND((Calculator!$B$5+F25)*Calculator!$H$5,2),2)+E25,2)</x:f>
        <x:v>0</x:v>
      </x:c>
      <x:c r="Q25" s="13">
        <x:f t="shared" si="1"/>
        <x:v>0</x:v>
      </x:c>
      <x:c r="R25" s="13">
        <x:f t="shared" si="2"/>
        <x:v>0</x:v>
      </x:c>
    </x:row>
    <x:row r="26" ht="25" customHeight="1">
      <x:c r="A26" s="1" t="s">
        <x:v>25</x:v>
      </x:c>
      <x:c r="B26" s="1">
        <x:v>1</x:v>
      </x:c>
      <x:c r="C26" s="1" t="n">
        <x:f>IF(B26&lt;=Calculator!$B$7,Calculator!$B$6/Calculator!$B$7,0)</x:f>
        <x:v>1</x:v>
      </x:c>
      <x:c r="D26" s="1" t="n">
        <x:f>MAX(0,MIN(C26,Calculator!$B$8-(B26-1)*C26))</x:f>
        <x:v>1</x:v>
      </x:c>
      <x:c r="E26" s="13" t="n">
        <x:f>C26*Calculator!$B$9</x:f>
        <x:v>10</x:v>
      </x:c>
      <x:c r="F26" s="13">
        <x:f t="shared" si="0"/>
        <x:v>10</x:v>
      </x:c>
      <x:c r="G26" s="13" t="n">
        <x:f>IF(C26=0,0,ROUND(Calculator!$B$5*Calculator!$H$5,2))</x:f>
        <x:v>1.8</x:v>
      </x:c>
      <x:c r="H26" s="13" t="n">
        <x:f>IF(C26=0,0,ROUND(Calculator!$B$5*Calculator!$H$6+Calculator!$H$7,2))</x:f>
        <x:v>2.01</x:v>
      </x:c>
      <x:c r="I26" s="13" t="n">
        <x:f>ROUND(H26*Calculator!$H$5,2)</x:f>
        <x:v>0.18</x:v>
      </x:c>
      <x:c r="J26" s="13" t="n">
        <x:f>IF(C26=0,0,ROUND(N26*Calculator!$H$8+Calculator!$H$9,2))</x:f>
        <x:v>3.11</x:v>
      </x:c>
      <x:c r="K26" s="13" t="n">
        <x:f>ROUND(J26*Calculator!$H$12,2)</x:f>
        <x:v>0.62</x:v>
      </x:c>
      <x:c r="L26" s="13" t="n">
        <x:f>IF(C26=0,0,ROUND((N26+J26+K26)*Calculator!$H$10+Calculator!$H$11,2))</x:f>
        <x:v>2.62</x:v>
      </x:c>
      <x:c r="M26" s="13" t="n">
        <x:f>ROUND(L26*Calculator!$H$12,2)</x:f>
        <x:v>0.52</x:v>
      </x:c>
      <x:c r="N26" s="13" t="n">
        <x:f>IF(C26=0,0,Calculator!$B$5+F26+H26+I26+ROUND((Calculator!$B$5+F26)*Calculator!$H$5,2))</x:f>
        <x:v>34.89</x:v>
      </x:c>
      <x:c r="O26" s="13" t="n">
        <x:f>ROUND(E26*Calculator!$H$5,2)</x:f>
        <x:v>0.9</x:v>
      </x:c>
      <x:c r="P26" s="13" t="n">
        <x:f>ROUND(C26*(Calculator!$B$5+H26+I26+J26+K26+L26+M26)+ROUND(C26*ROUND((Calculator!$B$5+F26)*Calculator!$H$5,2),2)+E26,2)</x:f>
        <x:v>41.76</x:v>
      </x:c>
      <x:c r="Q26" s="13">
        <x:f t="shared" si="1"/>
        <x:v>3.73</x:v>
      </x:c>
      <x:c r="R26" s="13">
        <x:f t="shared" si="2"/>
        <x:v>3.14</x:v>
      </x:c>
    </x:row>
    <x:row r="27" ht="25" customHeight="1">
      <x:c r="A27" s="1" t="s">
        <x:v>25</x:v>
      </x:c>
      <x:c r="B27" s="1">
        <x:v>2</x:v>
      </x:c>
      <x:c r="C27" s="1" t="n">
        <x:f>IF(B27&lt;=Calculator!$B$7,Calculator!$B$6/Calculator!$B$7,0)</x:f>
        <x:v>0</x:v>
      </x:c>
      <x:c r="D27" s="1" t="n">
        <x:f>MAX(0,MIN(C27,Calculator!$B$8-(B27-1)*C27))</x:f>
        <x:v>0</x:v>
      </x:c>
      <x:c r="E27" s="13" t="n">
        <x:f>C27*Calculator!$B$9</x:f>
        <x:v>0</x:v>
      </x:c>
      <x:c r="F27" s="13">
        <x:f t="shared" si="0"/>
        <x:v>0</x:v>
      </x:c>
      <x:c r="G27" s="13" t="n">
        <x:f>IF(C27=0,0,ROUND(Calculator!$B$5*Calculator!$H$5,2))</x:f>
        <x:v>0</x:v>
      </x:c>
      <x:c r="H27" s="13" t="n">
        <x:f>IF(C27=0,0,ROUND(Calculator!$B$5*Calculator!$H$6+Calculator!$H$7,2))</x:f>
        <x:v>0</x:v>
      </x:c>
      <x:c r="I27" s="13" t="n">
        <x:f>ROUND(H27*Calculator!$H$5,2)</x:f>
        <x:v>0</x:v>
      </x:c>
      <x:c r="J27" s="13" t="n">
        <x:f>IF(C27=0,0,ROUND(N27*Calculator!$H$8+Calculator!$H$9,2))</x:f>
        <x:v>0</x:v>
      </x:c>
      <x:c r="K27" s="13" t="n">
        <x:f>ROUND(J27*Calculator!$H$12,2)</x:f>
        <x:v>0</x:v>
      </x:c>
      <x:c r="L27" s="13" t="n">
        <x:f>IF(C27=0,0,ROUND((N27+J27+K27)*Calculator!$H$10+Calculator!$H$11,2))</x:f>
        <x:v>0</x:v>
      </x:c>
      <x:c r="M27" s="13" t="n">
        <x:f>ROUND(L27*Calculator!$H$12,2)</x:f>
        <x:v>0</x:v>
      </x:c>
      <x:c r="N27" s="13" t="n">
        <x:f>IF(C27=0,0,Calculator!$B$5+F27+H27+I27+ROUND((Calculator!$B$5+F27)*Calculator!$H$5,2))</x:f>
        <x:v>0</x:v>
      </x:c>
      <x:c r="O27" s="13" t="n">
        <x:f>ROUND(E27*Calculator!$H$5,2)</x:f>
        <x:v>0</x:v>
      </x:c>
      <x:c r="P27" s="13" t="n">
        <x:f>ROUND(C27*(Calculator!$B$5+H27+I27+J27+K27+L27+M27)+ROUND(C27*ROUND((Calculator!$B$5+F27)*Calculator!$H$5,2),2)+E27,2)</x:f>
        <x:v>0</x:v>
      </x:c>
      <x:c r="Q27" s="13">
        <x:f t="shared" si="1"/>
        <x:v>0</x:v>
      </x:c>
      <x:c r="R27" s="13">
        <x:f t="shared" si="2"/>
        <x:v>0</x:v>
      </x:c>
    </x:row>
    <x:row r="28" ht="25" customHeight="1">
      <x:c r="A28" s="1" t="s">
        <x:v>25</x:v>
      </x:c>
      <x:c r="B28" s="1">
        <x:v>3</x:v>
      </x:c>
      <x:c r="C28" s="1" t="n">
        <x:f>IF(B28&lt;=Calculator!$B$7,Calculator!$B$6/Calculator!$B$7,0)</x:f>
        <x:v>0</x:v>
      </x:c>
      <x:c r="D28" s="1" t="n">
        <x:f>MAX(0,MIN(C28,Calculator!$B$8-(B28-1)*C28))</x:f>
        <x:v>0</x:v>
      </x:c>
      <x:c r="E28" s="13" t="n">
        <x:f>C28*Calculator!$B$9</x:f>
        <x:v>0</x:v>
      </x:c>
      <x:c r="F28" s="13">
        <x:f t="shared" si="0"/>
        <x:v>0</x:v>
      </x:c>
      <x:c r="G28" s="13" t="n">
        <x:f>IF(C28=0,0,ROUND(Calculator!$B$5*Calculator!$H$5,2))</x:f>
        <x:v>0</x:v>
      </x:c>
      <x:c r="H28" s="13" t="n">
        <x:f>IF(C28=0,0,ROUND(Calculator!$B$5*Calculator!$H$6+Calculator!$H$7,2))</x:f>
        <x:v>0</x:v>
      </x:c>
      <x:c r="I28" s="13" t="n">
        <x:f>ROUND(H28*Calculator!$H$5,2)</x:f>
        <x:v>0</x:v>
      </x:c>
      <x:c r="J28" s="13" t="n">
        <x:f>IF(C28=0,0,ROUND(N28*Calculator!$H$8+Calculator!$H$9,2))</x:f>
        <x:v>0</x:v>
      </x:c>
      <x:c r="K28" s="13" t="n">
        <x:f>ROUND(J28*Calculator!$H$12,2)</x:f>
        <x:v>0</x:v>
      </x:c>
      <x:c r="L28" s="13" t="n">
        <x:f>IF(C28=0,0,ROUND((N28+J28+K28)*Calculator!$H$10+Calculator!$H$11,2))</x:f>
        <x:v>0</x:v>
      </x:c>
      <x:c r="M28" s="13" t="n">
        <x:f>ROUND(L28*Calculator!$H$12,2)</x:f>
        <x:v>0</x:v>
      </x:c>
      <x:c r="N28" s="13" t="n">
        <x:f>IF(C28=0,0,Calculator!$B$5+F28+H28+I28+ROUND((Calculator!$B$5+F28)*Calculator!$H$5,2))</x:f>
        <x:v>0</x:v>
      </x:c>
      <x:c r="O28" s="13" t="n">
        <x:f>ROUND(E28*Calculator!$H$5,2)</x:f>
        <x:v>0</x:v>
      </x:c>
      <x:c r="P28" s="13" t="n">
        <x:f>ROUND(C28*(Calculator!$B$5+H28+I28+J28+K28+L28+M28)+ROUND(C28*ROUND((Calculator!$B$5+F28)*Calculator!$H$5,2),2)+E28,2)</x:f>
        <x:v>0</x:v>
      </x:c>
      <x:c r="Q28" s="13">
        <x:f t="shared" si="1"/>
        <x:v>0</x:v>
      </x:c>
      <x:c r="R28" s="13">
        <x:f t="shared" si="2"/>
        <x:v>0</x:v>
      </x:c>
    </x:row>
    <x:row r="29" ht="25" customHeight="1">
      <x:c r="A29" s="1" t="s">
        <x:v>25</x:v>
      </x:c>
      <x:c r="B29" s="1">
        <x:v>4</x:v>
      </x:c>
      <x:c r="C29" s="1" t="n">
        <x:f>IF(B29&lt;=Calculator!$B$7,Calculator!$B$6/Calculator!$B$7,0)</x:f>
        <x:v>0</x:v>
      </x:c>
      <x:c r="D29" s="1" t="n">
        <x:f>MAX(0,MIN(C29,Calculator!$B$8-(B29-1)*C29))</x:f>
        <x:v>0</x:v>
      </x:c>
      <x:c r="E29" s="13" t="n">
        <x:f>C29*Calculator!$B$9</x:f>
        <x:v>0</x:v>
      </x:c>
      <x:c r="F29" s="13">
        <x:f t="shared" si="0"/>
        <x:v>0</x:v>
      </x:c>
      <x:c r="G29" s="13" t="n">
        <x:f>IF(C29=0,0,ROUND(Calculator!$B$5*Calculator!$H$5,2))</x:f>
        <x:v>0</x:v>
      </x:c>
      <x:c r="H29" s="13" t="n">
        <x:f>IF(C29=0,0,ROUND(Calculator!$B$5*Calculator!$H$6+Calculator!$H$7,2))</x:f>
        <x:v>0</x:v>
      </x:c>
      <x:c r="I29" s="13" t="n">
        <x:f>ROUND(H29*Calculator!$H$5,2)</x:f>
        <x:v>0</x:v>
      </x:c>
      <x:c r="J29" s="13" t="n">
        <x:f>IF(C29=0,0,ROUND(N29*Calculator!$H$8+Calculator!$H$9,2))</x:f>
        <x:v>0</x:v>
      </x:c>
      <x:c r="K29" s="13" t="n">
        <x:f>ROUND(J29*Calculator!$H$12,2)</x:f>
        <x:v>0</x:v>
      </x:c>
      <x:c r="L29" s="13" t="n">
        <x:f>IF(C29=0,0,ROUND((N29+J29+K29)*Calculator!$H$10+Calculator!$H$11,2))</x:f>
        <x:v>0</x:v>
      </x:c>
      <x:c r="M29" s="13" t="n">
        <x:f>ROUND(L29*Calculator!$H$12,2)</x:f>
        <x:v>0</x:v>
      </x:c>
      <x:c r="N29" s="13" t="n">
        <x:f>IF(C29=0,0,Calculator!$B$5+F29+H29+I29+ROUND((Calculator!$B$5+F29)*Calculator!$H$5,2))</x:f>
        <x:v>0</x:v>
      </x:c>
      <x:c r="O29" s="13" t="n">
        <x:f>ROUND(E29*Calculator!$H$5,2)</x:f>
        <x:v>0</x:v>
      </x:c>
      <x:c r="P29" s="13" t="n">
        <x:f>ROUND(C29*(Calculator!$B$5+H29+I29+J29+K29+L29+M29)+ROUND(C29*ROUND((Calculator!$B$5+F29)*Calculator!$H$5,2),2)+E29,2)</x:f>
        <x:v>0</x:v>
      </x:c>
      <x:c r="Q29" s="13">
        <x:f t="shared" si="1"/>
        <x:v>0</x:v>
      </x:c>
      <x:c r="R29" s="13">
        <x:f t="shared" si="2"/>
        <x:v>0</x:v>
      </x:c>
    </x:row>
    <x:row r="30" ht="25" customHeight="1">
      <x:c r="A30" s="1" t="s">
        <x:v>25</x:v>
      </x:c>
      <x:c r="B30" s="1">
        <x:v>5</x:v>
      </x:c>
      <x:c r="C30" s="1" t="n">
        <x:f>IF(B30&lt;=Calculator!$B$7,Calculator!$B$6/Calculator!$B$7,0)</x:f>
        <x:v>0</x:v>
      </x:c>
      <x:c r="D30" s="1" t="n">
        <x:f>MAX(0,MIN(C30,Calculator!$B$8-(B30-1)*C30))</x:f>
        <x:v>0</x:v>
      </x:c>
      <x:c r="E30" s="13" t="n">
        <x:f>C30*Calculator!$B$9</x:f>
        <x:v>0</x:v>
      </x:c>
      <x:c r="F30" s="13">
        <x:f t="shared" si="0"/>
        <x:v>0</x:v>
      </x:c>
      <x:c r="G30" s="13" t="n">
        <x:f>IF(C30=0,0,ROUND(Calculator!$B$5*Calculator!$H$5,2))</x:f>
        <x:v>0</x:v>
      </x:c>
      <x:c r="H30" s="13" t="n">
        <x:f>IF(C30=0,0,ROUND(Calculator!$B$5*Calculator!$H$6+Calculator!$H$7,2))</x:f>
        <x:v>0</x:v>
      </x:c>
      <x:c r="I30" s="13" t="n">
        <x:f>ROUND(H30*Calculator!$H$5,2)</x:f>
        <x:v>0</x:v>
      </x:c>
      <x:c r="J30" s="13" t="n">
        <x:f>IF(C30=0,0,ROUND(N30*Calculator!$H$8+Calculator!$H$9,2))</x:f>
        <x:v>0</x:v>
      </x:c>
      <x:c r="K30" s="13" t="n">
        <x:f>ROUND(J30*Calculator!$H$12,2)</x:f>
        <x:v>0</x:v>
      </x:c>
      <x:c r="L30" s="13" t="n">
        <x:f>IF(C30=0,0,ROUND((N30+J30+K30)*Calculator!$H$10+Calculator!$H$11,2))</x:f>
        <x:v>0</x:v>
      </x:c>
      <x:c r="M30" s="13" t="n">
        <x:f>ROUND(L30*Calculator!$H$12,2)</x:f>
        <x:v>0</x:v>
      </x:c>
      <x:c r="N30" s="13" t="n">
        <x:f>IF(C30=0,0,Calculator!$B$5+F30+H30+I30+ROUND((Calculator!$B$5+F30)*Calculator!$H$5,2))</x:f>
        <x:v>0</x:v>
      </x:c>
      <x:c r="O30" s="13" t="n">
        <x:f>ROUND(E30*Calculator!$H$5,2)</x:f>
        <x:v>0</x:v>
      </x:c>
      <x:c r="P30" s="13" t="n">
        <x:f>ROUND(C30*(Calculator!$B$5+H30+I30+J30+K30+L30+M30)+ROUND(C30*ROUND((Calculator!$B$5+F30)*Calculator!$H$5,2),2)+E30,2)</x:f>
        <x:v>0</x:v>
      </x:c>
      <x:c r="Q30" s="13">
        <x:f t="shared" si="1"/>
        <x:v>0</x:v>
      </x:c>
      <x:c r="R30" s="13">
        <x:f t="shared" si="2"/>
        <x:v>0</x:v>
      </x:c>
    </x:row>
    <x:row r="31" ht="25" customHeight="1">
      <x:c r="A31" s="1" t="s">
        <x:v>25</x:v>
      </x:c>
      <x:c r="B31" s="1">
        <x:v>6</x:v>
      </x:c>
      <x:c r="C31" s="1" t="n">
        <x:f>IF(B31&lt;=Calculator!$B$7,Calculator!$B$6/Calculator!$B$7,0)</x:f>
        <x:v>0</x:v>
      </x:c>
      <x:c r="D31" s="1" t="n">
        <x:f>MAX(0,MIN(C31,Calculator!$B$8-(B31-1)*C31))</x:f>
        <x:v>0</x:v>
      </x:c>
      <x:c r="E31" s="13" t="n">
        <x:f>C31*Calculator!$B$9</x:f>
        <x:v>0</x:v>
      </x:c>
      <x:c r="F31" s="13">
        <x:f t="shared" si="0"/>
        <x:v>0</x:v>
      </x:c>
      <x:c r="G31" s="13" t="n">
        <x:f>IF(C31=0,0,ROUND(Calculator!$B$5*Calculator!$H$5,2))</x:f>
        <x:v>0</x:v>
      </x:c>
      <x:c r="H31" s="13" t="n">
        <x:f>IF(C31=0,0,ROUND(Calculator!$B$5*Calculator!$H$6+Calculator!$H$7,2))</x:f>
        <x:v>0</x:v>
      </x:c>
      <x:c r="I31" s="13" t="n">
        <x:f>ROUND(H31*Calculator!$H$5,2)</x:f>
        <x:v>0</x:v>
      </x:c>
      <x:c r="J31" s="13" t="n">
        <x:f>IF(C31=0,0,ROUND(N31*Calculator!$H$8+Calculator!$H$9,2))</x:f>
        <x:v>0</x:v>
      </x:c>
      <x:c r="K31" s="13" t="n">
        <x:f>ROUND(J31*Calculator!$H$12,2)</x:f>
        <x:v>0</x:v>
      </x:c>
      <x:c r="L31" s="13" t="n">
        <x:f>IF(C31=0,0,ROUND((N31+J31+K31)*Calculator!$H$10+Calculator!$H$11,2))</x:f>
        <x:v>0</x:v>
      </x:c>
      <x:c r="M31" s="13" t="n">
        <x:f>ROUND(L31*Calculator!$H$12,2)</x:f>
        <x:v>0</x:v>
      </x:c>
      <x:c r="N31" s="13" t="n">
        <x:f>IF(C31=0,0,Calculator!$B$5+F31+H31+I31+ROUND((Calculator!$B$5+F31)*Calculator!$H$5,2))</x:f>
        <x:v>0</x:v>
      </x:c>
      <x:c r="O31" s="13" t="n">
        <x:f>ROUND(E31*Calculator!$H$5,2)</x:f>
        <x:v>0</x:v>
      </x:c>
      <x:c r="P31" s="13" t="n">
        <x:f>ROUND(C31*(Calculator!$B$5+H31+I31+J31+K31+L31+M31)+ROUND(C31*ROUND((Calculator!$B$5+F31)*Calculator!$H$5,2),2)+E31,2)</x:f>
        <x:v>0</x:v>
      </x:c>
      <x:c r="Q31" s="13">
        <x:f t="shared" si="1"/>
        <x:v>0</x:v>
      </x:c>
      <x:c r="R31" s="13">
        <x:f t="shared" si="2"/>
        <x:v>0</x:v>
      </x:c>
    </x:row>
    <x:row r="32" ht="25" customHeight="1">
      <x:c r="A32" s="1" t="s">
        <x:v>25</x:v>
      </x:c>
      <x:c r="B32" s="1">
        <x:v>7</x:v>
      </x:c>
      <x:c r="C32" s="1" t="n">
        <x:f>IF(B32&lt;=Calculator!$B$7,Calculator!$B$6/Calculator!$B$7,0)</x:f>
        <x:v>0</x:v>
      </x:c>
      <x:c r="D32" s="1" t="n">
        <x:f>MAX(0,MIN(C32,Calculator!$B$8-(B32-1)*C32))</x:f>
        <x:v>0</x:v>
      </x:c>
      <x:c r="E32" s="13" t="n">
        <x:f>C32*Calculator!$B$9</x:f>
        <x:v>0</x:v>
      </x:c>
      <x:c r="F32" s="13">
        <x:f t="shared" si="0"/>
        <x:v>0</x:v>
      </x:c>
      <x:c r="G32" s="13" t="n">
        <x:f>IF(C32=0,0,ROUND(Calculator!$B$5*Calculator!$H$5,2))</x:f>
        <x:v>0</x:v>
      </x:c>
      <x:c r="H32" s="13" t="n">
        <x:f>IF(C32=0,0,ROUND(Calculator!$B$5*Calculator!$H$6+Calculator!$H$7,2))</x:f>
        <x:v>0</x:v>
      </x:c>
      <x:c r="I32" s="13" t="n">
        <x:f>ROUND(H32*Calculator!$H$5,2)</x:f>
        <x:v>0</x:v>
      </x:c>
      <x:c r="J32" s="13" t="n">
        <x:f>IF(C32=0,0,ROUND(N32*Calculator!$H$8+Calculator!$H$9,2))</x:f>
        <x:v>0</x:v>
      </x:c>
      <x:c r="K32" s="13" t="n">
        <x:f>ROUND(J32*Calculator!$H$12,2)</x:f>
        <x:v>0</x:v>
      </x:c>
      <x:c r="L32" s="13" t="n">
        <x:f>IF(C32=0,0,ROUND((N32+J32+K32)*Calculator!$H$10+Calculator!$H$11,2))</x:f>
        <x:v>0</x:v>
      </x:c>
      <x:c r="M32" s="13" t="n">
        <x:f>ROUND(L32*Calculator!$H$12,2)</x:f>
        <x:v>0</x:v>
      </x:c>
      <x:c r="N32" s="13" t="n">
        <x:f>IF(C32=0,0,Calculator!$B$5+F32+H32+I32+ROUND((Calculator!$B$5+F32)*Calculator!$H$5,2))</x:f>
        <x:v>0</x:v>
      </x:c>
      <x:c r="O32" s="13" t="n">
        <x:f>ROUND(E32*Calculator!$H$5,2)</x:f>
        <x:v>0</x:v>
      </x:c>
      <x:c r="P32" s="13" t="n">
        <x:f>ROUND(C32*(Calculator!$B$5+H32+I32+J32+K32+L32+M32)+ROUND(C32*ROUND((Calculator!$B$5+F32)*Calculator!$H$5,2),2)+E32,2)</x:f>
        <x:v>0</x:v>
      </x:c>
      <x:c r="Q32" s="13">
        <x:f t="shared" si="1"/>
        <x:v>0</x:v>
      </x:c>
      <x:c r="R32" s="13">
        <x:f t="shared" si="2"/>
        <x:v>0</x:v>
      </x:c>
    </x:row>
    <x:row r="33" ht="25" customHeight="1">
      <x:c r="A33" s="1" t="s">
        <x:v>25</x:v>
      </x:c>
      <x:c r="B33" s="1">
        <x:v>8</x:v>
      </x:c>
      <x:c r="C33" s="1" t="n">
        <x:f>IF(B33&lt;=Calculator!$B$7,Calculator!$B$6/Calculator!$B$7,0)</x:f>
        <x:v>0</x:v>
      </x:c>
      <x:c r="D33" s="1" t="n">
        <x:f>MAX(0,MIN(C33,Calculator!$B$8-(B33-1)*C33))</x:f>
        <x:v>0</x:v>
      </x:c>
      <x:c r="E33" s="13" t="n">
        <x:f>C33*Calculator!$B$9</x:f>
        <x:v>0</x:v>
      </x:c>
      <x:c r="F33" s="13">
        <x:f t="shared" si="0"/>
        <x:v>0</x:v>
      </x:c>
      <x:c r="G33" s="13" t="n">
        <x:f>IF(C33=0,0,ROUND(Calculator!$B$5*Calculator!$H$5,2))</x:f>
        <x:v>0</x:v>
      </x:c>
      <x:c r="H33" s="13" t="n">
        <x:f>IF(C33=0,0,ROUND(Calculator!$B$5*Calculator!$H$6+Calculator!$H$7,2))</x:f>
        <x:v>0</x:v>
      </x:c>
      <x:c r="I33" s="13" t="n">
        <x:f>ROUND(H33*Calculator!$H$5,2)</x:f>
        <x:v>0</x:v>
      </x:c>
      <x:c r="J33" s="13" t="n">
        <x:f>IF(C33=0,0,ROUND(N33*Calculator!$H$8+Calculator!$H$9,2))</x:f>
        <x:v>0</x:v>
      </x:c>
      <x:c r="K33" s="13" t="n">
        <x:f>ROUND(J33*Calculator!$H$12,2)</x:f>
        <x:v>0</x:v>
      </x:c>
      <x:c r="L33" s="13" t="n">
        <x:f>IF(C33=0,0,ROUND((N33+J33+K33)*Calculator!$H$10+Calculator!$H$11,2))</x:f>
        <x:v>0</x:v>
      </x:c>
      <x:c r="M33" s="13" t="n">
        <x:f>ROUND(L33*Calculator!$H$12,2)</x:f>
        <x:v>0</x:v>
      </x:c>
      <x:c r="N33" s="13" t="n">
        <x:f>IF(C33=0,0,Calculator!$B$5+F33+H33+I33+ROUND((Calculator!$B$5+F33)*Calculator!$H$5,2))</x:f>
        <x:v>0</x:v>
      </x:c>
      <x:c r="O33" s="13" t="n">
        <x:f>ROUND(E33*Calculator!$H$5,2)</x:f>
        <x:v>0</x:v>
      </x:c>
      <x:c r="P33" s="13" t="n">
        <x:f>ROUND(C33*(Calculator!$B$5+H33+I33+J33+K33+L33+M33)+ROUND(C33*ROUND((Calculator!$B$5+F33)*Calculator!$H$5,2),2)+E33,2)</x:f>
        <x:v>0</x:v>
      </x:c>
      <x:c r="Q33" s="13">
        <x:f t="shared" si="1"/>
        <x:v>0</x:v>
      </x:c>
      <x:c r="R33" s="13">
        <x:f t="shared" si="2"/>
        <x:v>0</x:v>
      </x:c>
    </x:row>
    <x:row r="34" ht="25" customHeight="1">
      <x:c r="A34" s="1" t="s">
        <x:v>25</x:v>
      </x:c>
      <x:c r="B34" s="1">
        <x:v>9</x:v>
      </x:c>
      <x:c r="C34" s="1" t="n">
        <x:f>IF(B34&lt;=Calculator!$B$7,Calculator!$B$6/Calculator!$B$7,0)</x:f>
        <x:v>0</x:v>
      </x:c>
      <x:c r="D34" s="1" t="n">
        <x:f>MAX(0,MIN(C34,Calculator!$B$8-(B34-1)*C34))</x:f>
        <x:v>0</x:v>
      </x:c>
      <x:c r="E34" s="13" t="n">
        <x:f>C34*Calculator!$B$9</x:f>
        <x:v>0</x:v>
      </x:c>
      <x:c r="F34" s="13">
        <x:f t="shared" si="0"/>
        <x:v>0</x:v>
      </x:c>
      <x:c r="G34" s="13" t="n">
        <x:f>IF(C34=0,0,ROUND(Calculator!$B$5*Calculator!$H$5,2))</x:f>
        <x:v>0</x:v>
      </x:c>
      <x:c r="H34" s="13" t="n">
        <x:f>IF(C34=0,0,ROUND(Calculator!$B$5*Calculator!$H$6+Calculator!$H$7,2))</x:f>
        <x:v>0</x:v>
      </x:c>
      <x:c r="I34" s="13" t="n">
        <x:f>ROUND(H34*Calculator!$H$5,2)</x:f>
        <x:v>0</x:v>
      </x:c>
      <x:c r="J34" s="13" t="n">
        <x:f>IF(C34=0,0,ROUND(N34*Calculator!$H$8+Calculator!$H$9,2))</x:f>
        <x:v>0</x:v>
      </x:c>
      <x:c r="K34" s="13" t="n">
        <x:f>ROUND(J34*Calculator!$H$12,2)</x:f>
        <x:v>0</x:v>
      </x:c>
      <x:c r="L34" s="13" t="n">
        <x:f>IF(C34=0,0,ROUND((N34+J34+K34)*Calculator!$H$10+Calculator!$H$11,2))</x:f>
        <x:v>0</x:v>
      </x:c>
      <x:c r="M34" s="13" t="n">
        <x:f>ROUND(L34*Calculator!$H$12,2)</x:f>
        <x:v>0</x:v>
      </x:c>
      <x:c r="N34" s="13" t="n">
        <x:f>IF(C34=0,0,Calculator!$B$5+F34+H34+I34+ROUND((Calculator!$B$5+F34)*Calculator!$H$5,2))</x:f>
        <x:v>0</x:v>
      </x:c>
      <x:c r="O34" s="13" t="n">
        <x:f>ROUND(E34*Calculator!$H$5,2)</x:f>
        <x:v>0</x:v>
      </x:c>
      <x:c r="P34" s="13" t="n">
        <x:f>ROUND(C34*(Calculator!$B$5+H34+I34+J34+K34+L34+M34)+ROUND(C34*ROUND((Calculator!$B$5+F34)*Calculator!$H$5,2),2)+E34,2)</x:f>
        <x:v>0</x:v>
      </x:c>
      <x:c r="Q34" s="13">
        <x:f t="shared" si="1"/>
        <x:v>0</x:v>
      </x:c>
      <x:c r="R34" s="13">
        <x:f t="shared" si="2"/>
        <x:v>0</x:v>
      </x:c>
    </x:row>
    <x:row r="35" ht="25" customHeight="1">
      <x:c r="A35" s="1" t="s">
        <x:v>25</x:v>
      </x:c>
      <x:c r="B35" s="1">
        <x:v>10</x:v>
      </x:c>
      <x:c r="C35" s="1" t="n">
        <x:f>IF(B35&lt;=Calculator!$B$7,Calculator!$B$6/Calculator!$B$7,0)</x:f>
        <x:v>0</x:v>
      </x:c>
      <x:c r="D35" s="1" t="n">
        <x:f>MAX(0,MIN(C35,Calculator!$B$8-(B35-1)*C35))</x:f>
        <x:v>0</x:v>
      </x:c>
      <x:c r="E35" s="13" t="n">
        <x:f>C35*Calculator!$B$9</x:f>
        <x:v>0</x:v>
      </x:c>
      <x:c r="F35" s="13">
        <x:f t="shared" si="0"/>
        <x:v>0</x:v>
      </x:c>
      <x:c r="G35" s="13" t="n">
        <x:f>IF(C35=0,0,ROUND(Calculator!$B$5*Calculator!$H$5,2))</x:f>
        <x:v>0</x:v>
      </x:c>
      <x:c r="H35" s="13" t="n">
        <x:f>IF(C35=0,0,ROUND(Calculator!$B$5*Calculator!$H$6+Calculator!$H$7,2))</x:f>
        <x:v>0</x:v>
      </x:c>
      <x:c r="I35" s="13" t="n">
        <x:f>ROUND(H35*Calculator!$H$5,2)</x:f>
        <x:v>0</x:v>
      </x:c>
      <x:c r="J35" s="13" t="n">
        <x:f>IF(C35=0,0,ROUND(N35*Calculator!$H$8+Calculator!$H$9,2))</x:f>
        <x:v>0</x:v>
      </x:c>
      <x:c r="K35" s="13" t="n">
        <x:f>ROUND(J35*Calculator!$H$12,2)</x:f>
        <x:v>0</x:v>
      </x:c>
      <x:c r="L35" s="13" t="n">
        <x:f>IF(C35=0,0,ROUND((N35+J35+K35)*Calculator!$H$10+Calculator!$H$11,2))</x:f>
        <x:v>0</x:v>
      </x:c>
      <x:c r="M35" s="13" t="n">
        <x:f>ROUND(L35*Calculator!$H$12,2)</x:f>
        <x:v>0</x:v>
      </x:c>
      <x:c r="N35" s="13" t="n">
        <x:f>IF(C35=0,0,Calculator!$B$5+F35+H35+I35+ROUND((Calculator!$B$5+F35)*Calculator!$H$5,2))</x:f>
        <x:v>0</x:v>
      </x:c>
      <x:c r="O35" s="13" t="n">
        <x:f>ROUND(E35*Calculator!$H$5,2)</x:f>
        <x:v>0</x:v>
      </x:c>
      <x:c r="P35" s="13" t="n">
        <x:f>ROUND(C35*(Calculator!$B$5+H35+I35+J35+K35+L35+M35)+ROUND(C35*ROUND((Calculator!$B$5+F35)*Calculator!$H$5,2),2)+E35,2)</x:f>
        <x:v>0</x:v>
      </x:c>
      <x:c r="Q35" s="13">
        <x:f t="shared" si="1"/>
        <x:v>0</x:v>
      </x:c>
      <x:c r="R35" s="13">
        <x:f t="shared" si="2"/>
        <x:v>0</x:v>
      </x:c>
    </x:row>
    <x:row r="36" ht="25" customHeight="1">
      <x:c r="A36" s="1"/>
      <x:c r="B36" s="1"/>
      <x:c r="C36" s="1"/>
      <x:c r="D36" s="1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</x:row>
    <x:row r="37" ht="25" customHeight="1">
      <x:c r="A37" s="1"/>
      <x:c r="B37" s="1"/>
      <x:c r="C37" s="1"/>
      <x:c r="D37" s="1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</x:row>
    <x:row r="38" ht="25" customHeight="1">
      <x:c r="A38" s="1"/>
      <x:c r="B38" s="1"/>
      <x:c r="C38" s="1"/>
      <x:c r="D38" s="1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</x:row>
    <x:row r="39" ht="32" customHeight="1">
      <x:c r="A39" s="6" t="s">
        <x:v>27</x:v>
      </x:c>
      <x:c r="B39" s="6" t="s">
        <x:v>45</x:v>
      </x:c>
      <x:c r="C39" s="6" t="s">
        <x:v>46</x:v>
      </x:c>
      <x:c r="D39" s="6" t="s">
        <x:v>47</x:v>
      </x:c>
      <x:c r="E39" s="14" t="s">
        <x:v>48</x:v>
      </x:c>
      <x:c r="F39" s="14" t="s">
        <x:v>49</x:v>
      </x:c>
      <x:c r="G39" s="14" t="s">
        <x:v>50</x:v>
      </x:c>
      <x:c r="H39" s="14" t="s">
        <x:v>51</x:v>
      </x:c>
      <x:c r="I39" s="14" t="str">
        <x:v>Base refund</x:v>
      </x:c>
      <x:c r="J39" s="14" t="str">
        <x:v>Exclude Showpass fees</x:v>
      </x:c>
      <x:c r="K39" s="14" t="str">
        <x:v>Full refund; fees invoiced</x:v>
      </x:c>
      <x:c r="L39" s="14" t="str">
        <x:v>Shipping + tax returned</x:v>
      </x:c>
      <x:c r="M39" s="13"/>
      <x:c r="N39" s="13"/>
      <x:c r="O39" s="13"/>
      <x:c r="P39" s="13"/>
      <x:c r="Q39" s="13"/>
      <x:c r="R39" s="13"/>
    </x:row>
    <x:row r="40" ht="25" customHeight="1">
      <x:c r="A40" s="1" t="s">
        <x:v>18</x:v>
      </x:c>
      <x:c r="B40" s="1" t="s">
        <x:v>19</x:v>
      </x:c>
      <x:c r="C40" s="13" t="n">
        <x:f>ROUND(0,2)</x:f>
        <x:v>0</x:v>
      </x:c>
      <x:c r="D40" s="13" t="n">
        <x:f>ROUND(0,2)</x:f>
        <x:v>0</x:v>
      </x:c>
      <x:c r="E40" s="13" t="n">
        <x:f>ROUND(Calculator!$B$5*Calculator!$B$8+SUMPRODUCT(D6:D15,G6:G15),2)</x:f>
        <x:v>21.8</x:v>
      </x:c>
      <x:c r="F40" s="13" t="n">
        <x:f>SUM(Q6:Q15)</x:f>
        <x:v>3.73</x:v>
      </x:c>
      <x:c r="G40" s="13" t="n">
        <x:f>SUM(R6:R15)</x:f>
        <x:v>3.14</x:v>
      </x:c>
      <x:c r="H40" s="13" t="n">
        <x:f>ROUND(SUMPRODUCT(D6:D15,H6:H15)+SUMPRODUCT(D6:D15,I6:I15),2)</x:f>
        <x:v>2.19</x:v>
      </x:c>
      <x:c r="I40" s="13" t="n">
        <x:f t="shared" ref="I40:I54" si="3">ROUND(SUM(C40:E40),2)</x:f>
        <x:v>21.8</x:v>
      </x:c>
      <x:c r="J40" s="13" t="n">
        <x:f t="shared" ref="J40:J54" si="4">ROUND(I40+H40,2)</x:f>
        <x:v>23.99</x:v>
      </x:c>
      <x:c r="K40" s="13" t="n">
        <x:f t="shared" ref="K40:K54" si="5">ROUND(SUM(J40,F40:G40),2)</x:f>
        <x:v>30.86</x:v>
      </x:c>
      <x:c r="L40" s="13" t="n">
        <x:f t="shared" ref="L40:L54" si="6">ROUND(SUM(C40:D40),2)</x:f>
        <x:v>0</x:v>
      </x:c>
      <x:c r="M40" s="13"/>
      <x:c r="N40" s="13"/>
      <x:c r="O40" s="13"/>
      <x:c r="P40" s="13"/>
      <x:c r="Q40" s="13"/>
      <x:c r="R40" s="13"/>
    </x:row>
    <x:row r="41" ht="25" customHeight="1">
      <x:c r="A41" s="1" t="s">
        <x:v>18</x:v>
      </x:c>
      <x:c r="B41" s="1" t="s">
        <x:v>20</x:v>
      </x:c>
      <x:c r="C41" s="13" t="n">
        <x:f>ROUND(IF(Calculator!$B$8=Calculator!$B$6,SUM(E6:E15),0),2)</x:f>
        <x:v>10</x:v>
      </x:c>
      <x:c r="D41" s="13" t="n">
        <x:f>ROUND(IF(Calculator!$B$8=Calculator!$B$6,SUM(O6:O15),0),2)</x:f>
        <x:v>0.9</x:v>
      </x:c>
      <x:c r="E41" s="13" t="n">
        <x:f>ROUND(Calculator!$B$5*Calculator!$B$8+SUMPRODUCT(D6:D15,G6:G15),2)</x:f>
        <x:v>21.8</x:v>
      </x:c>
      <x:c r="F41" s="13" t="n">
        <x:f>SUM(Q6:Q15)</x:f>
        <x:v>3.73</x:v>
      </x:c>
      <x:c r="G41" s="13" t="n">
        <x:f>SUM(R6:R15)</x:f>
        <x:v>3.14</x:v>
      </x:c>
      <x:c r="H41" s="13" t="n">
        <x:f>ROUND(SUMPRODUCT(D6:D15,H6:H15)+SUMPRODUCT(D6:D15,I6:I15),2)</x:f>
        <x:v>2.19</x:v>
      </x:c>
      <x:c r="I41" s="13" t="n">
        <x:f t="shared" si="3">ROUND(SUM(C41:E41),2)</x:f>
        <x:v>32.7</x:v>
      </x:c>
      <x:c r="J41" s="13" t="n">
        <x:f t="shared" si="4">ROUND(I41+H41,2)</x:f>
        <x:v>34.89</x:v>
      </x:c>
      <x:c r="K41" s="13" t="n">
        <x:f t="shared" si="5">ROUND(SUM(J41,F41:G41),2)</x:f>
        <x:v>41.76</x:v>
      </x:c>
      <x:c r="L41" s="13" t="n">
        <x:f t="shared" si="6">ROUND(SUM(C41:D41),2)</x:f>
        <x:v>10.9</x:v>
      </x:c>
      <x:c r="M41" s="13"/>
      <x:c r="N41" s="13"/>
      <x:c r="O41" s="13"/>
      <x:c r="P41" s="13"/>
      <x:c r="Q41" s="13"/>
      <x:c r="R41" s="13"/>
    </x:row>
    <x:row r="42" ht="25" customHeight="1">
      <x:c r="A42" s="1" t="s">
        <x:v>18</x:v>
      </x:c>
      <x:c r="B42" s="1" t="s">
        <x:v>21</x:v>
      </x:c>
      <x:c r="C42" s="13" t="n">
        <x:f>ROUND(ROUND(SUM(E6:E15)*Calculator!$B$8/Calculator!$B$6,2),2)</x:f>
        <x:v>10</x:v>
      </x:c>
      <x:c r="D42" s="13" t="n">
        <x:f>ROUND(ROUND(SUM(O6:O15)*Calculator!$B$8/Calculator!$B$6,2),2)</x:f>
        <x:v>0.9</x:v>
      </x:c>
      <x:c r="E42" s="13" t="n">
        <x:f>ROUND(Calculator!$B$5*Calculator!$B$8+SUMPRODUCT(D6:D15,G6:G15),2)</x:f>
        <x:v>21.8</x:v>
      </x:c>
      <x:c r="F42" s="13" t="n">
        <x:f>SUM(Q6:Q15)</x:f>
        <x:v>3.73</x:v>
      </x:c>
      <x:c r="G42" s="13" t="n">
        <x:f>SUM(R6:R15)</x:f>
        <x:v>3.14</x:v>
      </x:c>
      <x:c r="H42" s="13" t="n">
        <x:f>ROUND(SUMPRODUCT(D6:D15,H6:H15)+SUMPRODUCT(D6:D15,I6:I15),2)</x:f>
        <x:v>2.19</x:v>
      </x:c>
      <x:c r="I42" s="13" t="n">
        <x:f t="shared" si="3">ROUND(SUM(C42:E42),2)</x:f>
        <x:v>32.7</x:v>
      </x:c>
      <x:c r="J42" s="13" t="n">
        <x:f t="shared" si="4">ROUND(I42+H42,2)</x:f>
        <x:v>34.89</x:v>
      </x:c>
      <x:c r="K42" s="13" t="n">
        <x:f t="shared" si="5">ROUND(SUM(J42,F42:G42),2)</x:f>
        <x:v>41.76</x:v>
      </x:c>
      <x:c r="L42" s="13" t="n">
        <x:f t="shared" si="6">ROUND(SUM(C42:D42),2)</x:f>
        <x:v>10.9</x:v>
      </x:c>
      <x:c r="M42" s="13"/>
      <x:c r="N42" s="13"/>
      <x:c r="O42" s="13"/>
      <x:c r="P42" s="13"/>
      <x:c r="Q42" s="13"/>
      <x:c r="R42" s="13"/>
    </x:row>
    <x:row r="43" ht="25" customHeight="1">
      <x:c r="A43" s="1" t="s">
        <x:v>18</x:v>
      </x:c>
      <x:c r="B43" s="1" t="s">
        <x:v>22</x:v>
      </x:c>
      <x:c r="C43" s="13" t="n">
        <x:f>ROUND(ROUND(SUM(E6:E15)*Calculator!$B$8/Calculator!$B$6,2),2)</x:f>
        <x:v>10</x:v>
      </x:c>
      <x:c r="D43" s="13" t="n">
        <x:f>ROUND(ROUND(SUM(O6:O15)*Calculator!$B$8/Calculator!$B$6,2),2)</x:f>
        <x:v>0.9</x:v>
      </x:c>
      <x:c r="E43" s="13" t="n">
        <x:f>ROUND(Calculator!$B$5*Calculator!$B$8+SUMPRODUCT(D6:D15,G6:G15),2)</x:f>
        <x:v>21.8</x:v>
      </x:c>
      <x:c r="F43" s="13" t="n">
        <x:f>SUM(Q6:Q15)</x:f>
        <x:v>3.73</x:v>
      </x:c>
      <x:c r="G43" s="13" t="n">
        <x:f>SUM(R6:R15)</x:f>
        <x:v>3.14</x:v>
      </x:c>
      <x:c r="H43" s="13" t="n">
        <x:f>ROUND(SUMPRODUCT(D6:D15,H6:H15)+SUMPRODUCT(D6:D15,I6:I15),2)</x:f>
        <x:v>2.19</x:v>
      </x:c>
      <x:c r="I43" s="13" t="n">
        <x:f t="shared" si="3">ROUND(SUM(C43:E43),2)</x:f>
        <x:v>32.7</x:v>
      </x:c>
      <x:c r="J43" s="13" t="n">
        <x:f t="shared" si="4">ROUND(I43+H43,2)</x:f>
        <x:v>34.89</x:v>
      </x:c>
      <x:c r="K43" s="13" t="n">
        <x:f t="shared" si="5">ROUND(SUM(J43,F43:G43),2)</x:f>
        <x:v>41.76</x:v>
      </x:c>
      <x:c r="L43" s="13" t="n">
        <x:f t="shared" si="6">ROUND(SUM(C43:D43),2)</x:f>
        <x:v>10.9</x:v>
      </x:c>
      <x:c r="M43" s="13"/>
      <x:c r="N43" s="13"/>
      <x:c r="O43" s="13"/>
      <x:c r="P43" s="13"/>
      <x:c r="Q43" s="13"/>
      <x:c r="R43" s="13"/>
    </x:row>
    <x:row r="44" ht="25" customHeight="1">
      <x:c r="A44" s="1" t="s">
        <x:v>18</x:v>
      </x:c>
      <x:c r="B44" s="1" t="s">
        <x:v>23</x:v>
      </x:c>
      <x:c r="C44" s="13" t="n">
        <x:f>ROUND(0,2)</x:f>
        <x:v>0</x:v>
      </x:c>
      <x:c r="D44" s="13" t="n">
        <x:f>ROUND(0,2)</x:f>
        <x:v>0</x:v>
      </x:c>
      <x:c r="E44" s="13" t="n">
        <x:f>ROUND(Calculator!$B$5*Calculator!$B$8+SUMPRODUCT(D6:D15,G6:G15),2)</x:f>
        <x:v>21.8</x:v>
      </x:c>
      <x:c r="F44" s="13" t="n">
        <x:f>SUM(Q6:Q15)</x:f>
        <x:v>3.73</x:v>
      </x:c>
      <x:c r="G44" s="13" t="n">
        <x:f>SUM(R6:R15)</x:f>
        <x:v>3.14</x:v>
      </x:c>
      <x:c r="H44" s="13" t="n">
        <x:f>ROUND(SUMPRODUCT(D6:D15,H6:H15)+SUMPRODUCT(D6:D15,I6:I15),2)</x:f>
        <x:v>2.19</x:v>
      </x:c>
      <x:c r="I44" s="13" t="n">
        <x:f t="shared" si="3">ROUND(SUM(C44:E44),2)</x:f>
        <x:v>21.8</x:v>
      </x:c>
      <x:c r="J44" s="13" t="n">
        <x:f t="shared" si="4">ROUND(I44+H44,2)</x:f>
        <x:v>23.99</x:v>
      </x:c>
      <x:c r="K44" s="13" t="n">
        <x:f t="shared" si="5">ROUND(SUM(J44,F44:G44),2)</x:f>
        <x:v>30.86</x:v>
      </x:c>
      <x:c r="L44" s="13" t="n">
        <x:f t="shared" si="6">ROUND(SUM(C44:D44),2)</x:f>
        <x:v>0</x:v>
      </x:c>
      <x:c r="M44" s="13"/>
      <x:c r="N44" s="13"/>
      <x:c r="O44" s="13"/>
      <x:c r="P44" s="13"/>
      <x:c r="Q44" s="13"/>
      <x:c r="R44" s="13"/>
    </x:row>
    <x:row r="45" ht="25" customHeight="1">
      <x:c r="A45" s="1" t="s">
        <x:v>24</x:v>
      </x:c>
      <x:c r="B45" s="1" t="s">
        <x:v>19</x:v>
      </x:c>
      <x:c r="C45" s="13" t="n">
        <x:f>ROUND(0,2)</x:f>
        <x:v>0</x:v>
      </x:c>
      <x:c r="D45" s="13" t="n">
        <x:f>ROUND(0,2)</x:f>
        <x:v>0</x:v>
      </x:c>
      <x:c r="E45" s="13" t="n">
        <x:f>ROUND(Calculator!$B$5*Calculator!$B$8+SUMPRODUCT(D16:D25,G16:G25),2)</x:f>
        <x:v>21.8</x:v>
      </x:c>
      <x:c r="F45" s="13" t="n">
        <x:f>SUM(Q16:Q25)</x:f>
        <x:v>3.73</x:v>
      </x:c>
      <x:c r="G45" s="13" t="n">
        <x:f>SUM(R16:R25)</x:f>
        <x:v>3.14</x:v>
      </x:c>
      <x:c r="H45" s="13" t="n">
        <x:f>ROUND(SUMPRODUCT(D16:D25,H16:H25)+SUMPRODUCT(D16:D25,I16:I25),2)</x:f>
        <x:v>2.19</x:v>
      </x:c>
      <x:c r="I45" s="13" t="n">
        <x:f t="shared" si="3">ROUND(SUM(C45:E45),2)</x:f>
        <x:v>21.8</x:v>
      </x:c>
      <x:c r="J45" s="13" t="n">
        <x:f t="shared" si="4">ROUND(I45+H45,2)</x:f>
        <x:v>23.99</x:v>
      </x:c>
      <x:c r="K45" s="13" t="n">
        <x:f t="shared" si="5">ROUND(SUM(J45,F45:G45),2)</x:f>
        <x:v>30.86</x:v>
      </x:c>
      <x:c r="L45" s="13" t="n">
        <x:f t="shared" si="6">ROUND(SUM(C45:D45),2)</x:f>
        <x:v>0</x:v>
      </x:c>
      <x:c r="M45" s="13"/>
      <x:c r="N45" s="13"/>
      <x:c r="O45" s="13"/>
      <x:c r="P45" s="13"/>
      <x:c r="Q45" s="13"/>
      <x:c r="R45" s="13"/>
    </x:row>
    <x:row r="46" ht="25" customHeight="1">
      <x:c r="A46" s="1" t="s">
        <x:v>24</x:v>
      </x:c>
      <x:c r="B46" s="1" t="s">
        <x:v>20</x:v>
      </x:c>
      <x:c r="C46" s="13" t="n">
        <x:f>ROUND(SUMIFS(E16:E25,C16:C25,"&gt;0",D16:D25,Calculator!$B$6/Calculator!$B$7),2)</x:f>
        <x:v>10</x:v>
      </x:c>
      <x:c r="D46" s="13" t="n">
        <x:f>ROUND(SUMIFS(O16:O25,C16:C25,"&gt;0",D16:D25,Calculator!$B$6/Calculator!$B$7),2)</x:f>
        <x:v>0.9</x:v>
      </x:c>
      <x:c r="E46" s="13" t="n">
        <x:f>ROUND(Calculator!$B$5*Calculator!$B$8+SUMPRODUCT(D16:D25,G16:G25),2)</x:f>
        <x:v>21.8</x:v>
      </x:c>
      <x:c r="F46" s="13" t="n">
        <x:f>SUM(Q16:Q25)</x:f>
        <x:v>3.73</x:v>
      </x:c>
      <x:c r="G46" s="13" t="n">
        <x:f>SUM(R16:R25)</x:f>
        <x:v>3.14</x:v>
      </x:c>
      <x:c r="H46" s="13" t="n">
        <x:f>ROUND(SUMPRODUCT(D16:D25,H16:H25)+SUMPRODUCT(D16:D25,I16:I25),2)</x:f>
        <x:v>2.19</x:v>
      </x:c>
      <x:c r="I46" s="13" t="n">
        <x:f t="shared" si="3">ROUND(SUM(C46:E46),2)</x:f>
        <x:v>32.7</x:v>
      </x:c>
      <x:c r="J46" s="13" t="n">
        <x:f t="shared" si="4">ROUND(I46+H46,2)</x:f>
        <x:v>34.89</x:v>
      </x:c>
      <x:c r="K46" s="13" t="n">
        <x:f t="shared" si="5">ROUND(SUM(J46,F46:G46),2)</x:f>
        <x:v>41.76</x:v>
      </x:c>
      <x:c r="L46" s="13" t="n">
        <x:f t="shared" si="6">ROUND(SUM(C46:D46),2)</x:f>
        <x:v>10.9</x:v>
      </x:c>
      <x:c r="M46" s="13"/>
      <x:c r="N46" s="13"/>
      <x:c r="O46" s="13"/>
      <x:c r="P46" s="13"/>
      <x:c r="Q46" s="13"/>
      <x:c r="R46" s="13"/>
    </x:row>
    <x:row r="47" ht="25" customHeight="1">
      <x:c r="A47" s="1" t="s">
        <x:v>24</x:v>
      </x:c>
      <x:c r="B47" s="1" t="s">
        <x:v>21</x:v>
      </x:c>
      <x:c r="C47" s="13" t="n">
        <x:f>ROUND(IF(C16=0,0,ROUND(E16*D16/C16,2))+IF(C17=0,0,ROUND(E17*D17/C17,2))+IF(C18=0,0,ROUND(E18*D18/C18,2))+IF(C19=0,0,ROUND(E19*D19/C19,2))+IF(C20=0,0,ROUND(E20*D20/C20,2))+IF(C21=0,0,ROUND(E21*D21/C21,2))+IF(C22=0,0,ROUND(E22*D22/C22,2))+IF(C23=0,0,ROUND(E23*D23/C23,2))+IF(C24=0,0,ROUND(E24*D24/C24,2))+IF(C25=0,0,ROUND(E25*D25/C25,2)),2)</x:f>
        <x:v>10</x:v>
      </x:c>
      <x:c r="D47" s="13" t="n">
        <x:f>ROUND(IF(C16=0,0,ROUND(O16*D16/C16,2))+IF(C17=0,0,ROUND(O17*D17/C17,2))+IF(C18=0,0,ROUND(O18*D18/C18,2))+IF(C19=0,0,ROUND(O19*D19/C19,2))+IF(C20=0,0,ROUND(O20*D20/C20,2))+IF(C21=0,0,ROUND(O21*D21/C21,2))+IF(C22=0,0,ROUND(O22*D22/C22,2))+IF(C23=0,0,ROUND(O23*D23/C23,2))+IF(C24=0,0,ROUND(O24*D24/C24,2))+IF(C25=0,0,ROUND(O25*D25/C25,2)),2)</x:f>
        <x:v>0.9</x:v>
      </x:c>
      <x:c r="E47" s="13" t="n">
        <x:f>ROUND(Calculator!$B$5*Calculator!$B$8+SUMPRODUCT(D16:D25,G16:G25),2)</x:f>
        <x:v>21.8</x:v>
      </x:c>
      <x:c r="F47" s="13" t="n">
        <x:f>SUM(Q16:Q25)</x:f>
        <x:v>3.73</x:v>
      </x:c>
      <x:c r="G47" s="13" t="n">
        <x:f>SUM(R16:R25)</x:f>
        <x:v>3.14</x:v>
      </x:c>
      <x:c r="H47" s="13" t="n">
        <x:f>ROUND(SUMPRODUCT(D16:D25,H16:H25)+SUMPRODUCT(D16:D25,I16:I25),2)</x:f>
        <x:v>2.19</x:v>
      </x:c>
      <x:c r="I47" s="13" t="n">
        <x:f t="shared" si="3">ROUND(SUM(C47:E47),2)</x:f>
        <x:v>32.7</x:v>
      </x:c>
      <x:c r="J47" s="13" t="n">
        <x:f t="shared" si="4">ROUND(I47+H47,2)</x:f>
        <x:v>34.89</x:v>
      </x:c>
      <x:c r="K47" s="13" t="n">
        <x:f t="shared" si="5">ROUND(SUM(J47,F47:G47),2)</x:f>
        <x:v>41.76</x:v>
      </x:c>
      <x:c r="L47" s="13" t="n">
        <x:f t="shared" si="6">ROUND(SUM(C47:D47),2)</x:f>
        <x:v>10.9</x:v>
      </x:c>
      <x:c r="M47" s="13"/>
      <x:c r="N47" s="13"/>
      <x:c r="O47" s="13"/>
      <x:c r="P47" s="13"/>
      <x:c r="Q47" s="13"/>
      <x:c r="R47" s="13"/>
    </x:row>
    <x:row r="48" ht="25" customHeight="1">
      <x:c r="A48" s="1" t="s">
        <x:v>24</x:v>
      </x:c>
      <x:c r="B48" s="1" t="s">
        <x:v>22</x:v>
      </x:c>
      <x:c r="C48" s="13" t="n">
        <x:f>ROUND(IF(C16=0,0,ROUND(E16*D16/C16,2))+IF(C17=0,0,ROUND(E17*D17/C17,2))+IF(C18=0,0,ROUND(E18*D18/C18,2))+IF(C19=0,0,ROUND(E19*D19/C19,2))+IF(C20=0,0,ROUND(E20*D20/C20,2))+IF(C21=0,0,ROUND(E21*D21/C21,2))+IF(C22=0,0,ROUND(E22*D22/C22,2))+IF(C23=0,0,ROUND(E23*D23/C23,2))+IF(C24=0,0,ROUND(E24*D24/C24,2))+IF(C25=0,0,ROUND(E25*D25/C25,2)),2)</x:f>
        <x:v>10</x:v>
      </x:c>
      <x:c r="D48" s="13" t="n">
        <x:f>ROUND(IF(C16=0,0,ROUND(O16*D16/C16,2))+IF(C17=0,0,ROUND(O17*D17/C17,2))+IF(C18=0,0,ROUND(O18*D18/C18,2))+IF(C19=0,0,ROUND(O19*D19/C19,2))+IF(C20=0,0,ROUND(O20*D20/C20,2))+IF(C21=0,0,ROUND(O21*D21/C21,2))+IF(C22=0,0,ROUND(O22*D22/C22,2))+IF(C23=0,0,ROUND(O23*D23/C23,2))+IF(C24=0,0,ROUND(O24*D24/C24,2))+IF(C25=0,0,ROUND(O25*D25/C25,2)),2)</x:f>
        <x:v>0.9</x:v>
      </x:c>
      <x:c r="E48" s="13" t="n">
        <x:f>ROUND(Calculator!$B$5*Calculator!$B$8+SUMPRODUCT(D16:D25,G16:G25),2)</x:f>
        <x:v>21.8</x:v>
      </x:c>
      <x:c r="F48" s="13" t="n">
        <x:f>SUM(Q16:Q25)</x:f>
        <x:v>3.73</x:v>
      </x:c>
      <x:c r="G48" s="13" t="n">
        <x:f>SUM(R16:R25)</x:f>
        <x:v>3.14</x:v>
      </x:c>
      <x:c r="H48" s="13" t="n">
        <x:f>ROUND(SUMPRODUCT(D16:D25,H16:H25)+SUMPRODUCT(D16:D25,I16:I25),2)</x:f>
        <x:v>2.19</x:v>
      </x:c>
      <x:c r="I48" s="13" t="n">
        <x:f t="shared" si="3">ROUND(SUM(C48:E48),2)</x:f>
        <x:v>32.7</x:v>
      </x:c>
      <x:c r="J48" s="13" t="n">
        <x:f t="shared" si="4">ROUND(I48+H48,2)</x:f>
        <x:v>34.89</x:v>
      </x:c>
      <x:c r="K48" s="13" t="n">
        <x:f t="shared" si="5">ROUND(SUM(J48,F48:G48),2)</x:f>
        <x:v>41.76</x:v>
      </x:c>
      <x:c r="L48" s="13" t="n">
        <x:f t="shared" si="6">ROUND(SUM(C48:D48),2)</x:f>
        <x:v>10.9</x:v>
      </x:c>
      <x:c r="M48" s="13"/>
      <x:c r="N48" s="13"/>
      <x:c r="O48" s="13"/>
      <x:c r="P48" s="13"/>
      <x:c r="Q48" s="13"/>
      <x:c r="R48" s="13"/>
    </x:row>
    <x:row r="49" ht="25" customHeight="1">
      <x:c r="A49" s="1" t="s">
        <x:v>24</x:v>
      </x:c>
      <x:c r="B49" s="1" t="s">
        <x:v>23</x:v>
      </x:c>
      <x:c r="C49" s="13" t="n">
        <x:f>ROUND(0,2)</x:f>
        <x:v>0</x:v>
      </x:c>
      <x:c r="D49" s="13" t="n">
        <x:f>ROUND(0,2)</x:f>
        <x:v>0</x:v>
      </x:c>
      <x:c r="E49" s="13" t="n">
        <x:f>ROUND(Calculator!$B$5*Calculator!$B$8+SUMPRODUCT(D16:D25,G16:G25),2)</x:f>
        <x:v>21.8</x:v>
      </x:c>
      <x:c r="F49" s="13" t="n">
        <x:f>SUM(Q16:Q25)</x:f>
        <x:v>3.73</x:v>
      </x:c>
      <x:c r="G49" s="13" t="n">
        <x:f>SUM(R16:R25)</x:f>
        <x:v>3.14</x:v>
      </x:c>
      <x:c r="H49" s="13" t="n">
        <x:f>ROUND(SUMPRODUCT(D16:D25,H16:H25)+SUMPRODUCT(D16:D25,I16:I25),2)</x:f>
        <x:v>2.19</x:v>
      </x:c>
      <x:c r="I49" s="13" t="n">
        <x:f t="shared" si="3">ROUND(SUM(C49:E49),2)</x:f>
        <x:v>21.8</x:v>
      </x:c>
      <x:c r="J49" s="13" t="n">
        <x:f t="shared" si="4">ROUND(I49+H49,2)</x:f>
        <x:v>23.99</x:v>
      </x:c>
      <x:c r="K49" s="13" t="n">
        <x:f t="shared" si="5">ROUND(SUM(J49,F49:G49),2)</x:f>
        <x:v>30.86</x:v>
      </x:c>
      <x:c r="L49" s="13" t="n">
        <x:f t="shared" si="6">ROUND(SUM(C49:D49),2)</x:f>
        <x:v>0</x:v>
      </x:c>
      <x:c r="M49" s="13"/>
      <x:c r="N49" s="13"/>
      <x:c r="O49" s="13"/>
      <x:c r="P49" s="13"/>
      <x:c r="Q49" s="13"/>
      <x:c r="R49" s="13"/>
    </x:row>
    <x:row r="50" ht="25" customHeight="1">
      <x:c r="A50" s="1" t="s">
        <x:v>25</x:v>
      </x:c>
      <x:c r="B50" s="1" t="s">
        <x:v>19</x:v>
      </x:c>
      <x:c r="C50" s="13" t="n">
        <x:f>ROUND(0,2)</x:f>
        <x:v>0</x:v>
      </x:c>
      <x:c r="D50" s="13" t="n">
        <x:f>ROUND(0,2)</x:f>
        <x:v>0</x:v>
      </x:c>
      <x:c r="E50" s="13" t="n">
        <x:f>ROUND(Calculator!$B$5*Calculator!$B$8+SUMPRODUCT(D26:D35,G26:G35),2)</x:f>
        <x:v>21.8</x:v>
      </x:c>
      <x:c r="F50" s="13" t="n">
        <x:f>SUM(Q26:Q35)</x:f>
        <x:v>3.73</x:v>
      </x:c>
      <x:c r="G50" s="13" t="n">
        <x:f>SUM(R26:R35)</x:f>
        <x:v>3.14</x:v>
      </x:c>
      <x:c r="H50" s="13" t="n">
        <x:f>ROUND(SUMPRODUCT(D26:D35,H26:H35)+SUMPRODUCT(D26:D35,I26:I35),2)</x:f>
        <x:v>2.19</x:v>
      </x:c>
      <x:c r="I50" s="13" t="n">
        <x:f t="shared" si="3">ROUND(SUM(C50:E50),2)</x:f>
        <x:v>21.8</x:v>
      </x:c>
      <x:c r="J50" s="13" t="n">
        <x:f t="shared" si="4">ROUND(I50+H50,2)</x:f>
        <x:v>23.99</x:v>
      </x:c>
      <x:c r="K50" s="13" t="n">
        <x:f t="shared" si="5">ROUND(SUM(J50,F50:G50),2)</x:f>
        <x:v>30.86</x:v>
      </x:c>
      <x:c r="L50" s="13" t="n">
        <x:f t="shared" si="6">ROUND(SUM(C50:D50),2)</x:f>
        <x:v>0</x:v>
      </x:c>
      <x:c r="M50" s="13"/>
      <x:c r="N50" s="13"/>
      <x:c r="O50" s="13"/>
      <x:c r="P50" s="13"/>
      <x:c r="Q50" s="13"/>
      <x:c r="R50" s="13"/>
    </x:row>
    <x:row r="51" ht="25" customHeight="1">
      <x:c r="A51" s="1" t="s">
        <x:v>25</x:v>
      </x:c>
      <x:c r="B51" s="1" t="s">
        <x:v>20</x:v>
      </x:c>
      <x:c r="C51" s="13" t="n">
        <x:f>ROUND(SUMIFS(E26:E35,C26:C35,"&gt;0",D26:D35,Calculator!$B$6/Calculator!$B$7),2)</x:f>
        <x:v>10</x:v>
      </x:c>
      <x:c r="D51" s="13" t="n">
        <x:f>ROUND(SUMIFS(O26:O35,C26:C35,"&gt;0",D26:D35,Calculator!$B$6/Calculator!$B$7),2)</x:f>
        <x:v>0.9</x:v>
      </x:c>
      <x:c r="E51" s="13" t="n">
        <x:f>ROUND(Calculator!$B$5*Calculator!$B$8+SUMPRODUCT(D26:D35,G26:G35),2)</x:f>
        <x:v>21.8</x:v>
      </x:c>
      <x:c r="F51" s="13" t="n">
        <x:f>SUM(Q26:Q35)</x:f>
        <x:v>3.73</x:v>
      </x:c>
      <x:c r="G51" s="13" t="n">
        <x:f>SUM(R26:R35)</x:f>
        <x:v>3.14</x:v>
      </x:c>
      <x:c r="H51" s="13" t="n">
        <x:f>ROUND(SUMPRODUCT(D26:D35,H26:H35)+SUMPRODUCT(D26:D35,I26:I35),2)</x:f>
        <x:v>2.19</x:v>
      </x:c>
      <x:c r="I51" s="13" t="n">
        <x:f t="shared" si="3">ROUND(SUM(C51:E51),2)</x:f>
        <x:v>32.7</x:v>
      </x:c>
      <x:c r="J51" s="13" t="n">
        <x:f t="shared" si="4">ROUND(I51+H51,2)</x:f>
        <x:v>34.89</x:v>
      </x:c>
      <x:c r="K51" s="13" t="n">
        <x:f t="shared" si="5">ROUND(SUM(J51,F51:G51),2)</x:f>
        <x:v>41.76</x:v>
      </x:c>
      <x:c r="L51" s="13" t="n">
        <x:f t="shared" si="6">ROUND(SUM(C51:D51),2)</x:f>
        <x:v>10.9</x:v>
      </x:c>
      <x:c r="M51" s="13"/>
      <x:c r="N51" s="13"/>
      <x:c r="O51" s="13"/>
      <x:c r="P51" s="13"/>
      <x:c r="Q51" s="13"/>
      <x:c r="R51" s="13"/>
    </x:row>
    <x:row r="52" ht="25" customHeight="1">
      <x:c r="A52" s="1" t="s">
        <x:v>25</x:v>
      </x:c>
      <x:c r="B52" s="1" t="s">
        <x:v>21</x:v>
      </x:c>
      <x:c r="C52" s="13" t="n">
        <x:f>ROUND(IF(C26=0,0,ROUND(E26*D26/C26,2))+IF(C27=0,0,ROUND(E27*D27/C27,2))+IF(C28=0,0,ROUND(E28*D28/C28,2))+IF(C29=0,0,ROUND(E29*D29/C29,2))+IF(C30=0,0,ROUND(E30*D30/C30,2))+IF(C31=0,0,ROUND(E31*D31/C31,2))+IF(C32=0,0,ROUND(E32*D32/C32,2))+IF(C33=0,0,ROUND(E33*D33/C33,2))+IF(C34=0,0,ROUND(E34*D34/C34,2))+IF(C35=0,0,ROUND(E35*D35/C35,2)),2)</x:f>
        <x:v>10</x:v>
      </x:c>
      <x:c r="D52" s="13" t="n">
        <x:f>ROUND(IF(C26=0,0,ROUND(O26*D26/C26,2))+IF(C27=0,0,ROUND(O27*D27/C27,2))+IF(C28=0,0,ROUND(O28*D28/C28,2))+IF(C29=0,0,ROUND(O29*D29/C29,2))+IF(C30=0,0,ROUND(O30*D30/C30,2))+IF(C31=0,0,ROUND(O31*D31/C31,2))+IF(C32=0,0,ROUND(O32*D32/C32,2))+IF(C33=0,0,ROUND(O33*D33/C33,2))+IF(C34=0,0,ROUND(O34*D34/C34,2))+IF(C35=0,0,ROUND(O35*D35/C35,2)),2)</x:f>
        <x:v>0.9</x:v>
      </x:c>
      <x:c r="E52" s="13" t="n">
        <x:f>ROUND(Calculator!$B$5*Calculator!$B$8+SUMPRODUCT(D26:D35,G26:G35),2)</x:f>
        <x:v>21.8</x:v>
      </x:c>
      <x:c r="F52" s="13" t="n">
        <x:f>SUM(Q26:Q35)</x:f>
        <x:v>3.73</x:v>
      </x:c>
      <x:c r="G52" s="13" t="n">
        <x:f>SUM(R26:R35)</x:f>
        <x:v>3.14</x:v>
      </x:c>
      <x:c r="H52" s="13" t="n">
        <x:f>ROUND(SUMPRODUCT(D26:D35,H26:H35)+SUMPRODUCT(D26:D35,I26:I35),2)</x:f>
        <x:v>2.19</x:v>
      </x:c>
      <x:c r="I52" s="13" t="n">
        <x:f t="shared" si="3">ROUND(SUM(C52:E52),2)</x:f>
        <x:v>32.7</x:v>
      </x:c>
      <x:c r="J52" s="13" t="n">
        <x:f t="shared" si="4">ROUND(I52+H52,2)</x:f>
        <x:v>34.89</x:v>
      </x:c>
      <x:c r="K52" s="13" t="n">
        <x:f t="shared" si="5">ROUND(SUM(J52,F52:G52),2)</x:f>
        <x:v>41.76</x:v>
      </x:c>
      <x:c r="L52" s="13" t="n">
        <x:f t="shared" si="6">ROUND(SUM(C52:D52),2)</x:f>
        <x:v>10.9</x:v>
      </x:c>
      <x:c r="M52" s="13"/>
      <x:c r="N52" s="13"/>
      <x:c r="O52" s="13"/>
      <x:c r="P52" s="13"/>
      <x:c r="Q52" s="13"/>
      <x:c r="R52" s="13"/>
    </x:row>
    <x:row r="53" ht="25" customHeight="1">
      <x:c r="A53" s="1" t="s">
        <x:v>25</x:v>
      </x:c>
      <x:c r="B53" s="1" t="s">
        <x:v>22</x:v>
      </x:c>
      <x:c r="C53" s="13" t="n">
        <x:f>ROUND(IF(C26=0,0,ROUND(E26*D26/C26,2))+IF(C27=0,0,ROUND(E27*D27/C27,2))+IF(C28=0,0,ROUND(E28*D28/C28,2))+IF(C29=0,0,ROUND(E29*D29/C29,2))+IF(C30=0,0,ROUND(E30*D30/C30,2))+IF(C31=0,0,ROUND(E31*D31/C31,2))+IF(C32=0,0,ROUND(E32*D32/C32,2))+IF(C33=0,0,ROUND(E33*D33/C33,2))+IF(C34=0,0,ROUND(E34*D34/C34,2))+IF(C35=0,0,ROUND(E35*D35/C35,2)),2)</x:f>
        <x:v>10</x:v>
      </x:c>
      <x:c r="D53" s="13" t="n">
        <x:f>ROUND(IF(C26=0,0,ROUND(O26*D26/C26,2))+IF(C27=0,0,ROUND(O27*D27/C27,2))+IF(C28=0,0,ROUND(O28*D28/C28,2))+IF(C29=0,0,ROUND(O29*D29/C29,2))+IF(C30=0,0,ROUND(O30*D30/C30,2))+IF(C31=0,0,ROUND(O31*D31/C31,2))+IF(C32=0,0,ROUND(O32*D32/C32,2))+IF(C33=0,0,ROUND(O33*D33/C33,2))+IF(C34=0,0,ROUND(O34*D34/C34,2))+IF(C35=0,0,ROUND(O35*D35/C35,2)),2)</x:f>
        <x:v>0.9</x:v>
      </x:c>
      <x:c r="E53" s="13" t="n">
        <x:f>ROUND(Calculator!$B$5*Calculator!$B$8+SUMPRODUCT(D26:D35,G26:G35),2)</x:f>
        <x:v>21.8</x:v>
      </x:c>
      <x:c r="F53" s="13" t="n">
        <x:f>SUM(Q26:Q35)</x:f>
        <x:v>3.73</x:v>
      </x:c>
      <x:c r="G53" s="13" t="n">
        <x:f>SUM(R26:R35)</x:f>
        <x:v>3.14</x:v>
      </x:c>
      <x:c r="H53" s="13" t="n">
        <x:f>ROUND(SUMPRODUCT(D26:D35,H26:H35)+SUMPRODUCT(D26:D35,I26:I35),2)</x:f>
        <x:v>2.19</x:v>
      </x:c>
      <x:c r="I53" s="13" t="n">
        <x:f t="shared" si="3">ROUND(SUM(C53:E53),2)</x:f>
        <x:v>32.7</x:v>
      </x:c>
      <x:c r="J53" s="13" t="n">
        <x:f t="shared" si="4">ROUND(I53+H53,2)</x:f>
        <x:v>34.89</x:v>
      </x:c>
      <x:c r="K53" s="13" t="n">
        <x:f t="shared" si="5">ROUND(SUM(J53,F53:G53),2)</x:f>
        <x:v>41.76</x:v>
      </x:c>
      <x:c r="L53" s="13" t="n">
        <x:f t="shared" si="6">ROUND(SUM(C53:D53),2)</x:f>
        <x:v>10.9</x:v>
      </x:c>
      <x:c r="M53" s="13"/>
      <x:c r="N53" s="13"/>
      <x:c r="O53" s="13"/>
      <x:c r="P53" s="13"/>
      <x:c r="Q53" s="13"/>
      <x:c r="R53" s="13"/>
    </x:row>
    <x:row r="54" ht="25" customHeight="1">
      <x:c r="A54" s="1" t="s">
        <x:v>25</x:v>
      </x:c>
      <x:c r="B54" s="1" t="s">
        <x:v>23</x:v>
      </x:c>
      <x:c r="C54" s="13" t="n">
        <x:f>ROUND(0,2)</x:f>
        <x:v>0</x:v>
      </x:c>
      <x:c r="D54" s="13" t="n">
        <x:f>ROUND(0,2)</x:f>
        <x:v>0</x:v>
      </x:c>
      <x:c r="E54" s="13" t="n">
        <x:f>ROUND(Calculator!$B$5*Calculator!$B$8+SUMPRODUCT(D26:D35,G26:G35),2)</x:f>
        <x:v>21.8</x:v>
      </x:c>
      <x:c r="F54" s="13" t="n">
        <x:f>SUM(Q26:Q35)</x:f>
        <x:v>3.73</x:v>
      </x:c>
      <x:c r="G54" s="13" t="n">
        <x:f>SUM(R26:R35)</x:f>
        <x:v>3.14</x:v>
      </x:c>
      <x:c r="H54" s="13" t="n">
        <x:f>ROUND(SUMPRODUCT(D26:D35,H26:H35)+SUMPRODUCT(D26:D35,I26:I35),2)</x:f>
        <x:v>2.19</x:v>
      </x:c>
      <x:c r="I54" s="13" t="n">
        <x:f t="shared" si="3">ROUND(SUM(C54:E54),2)</x:f>
        <x:v>21.8</x:v>
      </x:c>
      <x:c r="J54" s="13" t="n">
        <x:f t="shared" si="4">ROUND(I54+H54,2)</x:f>
        <x:v>23.99</x:v>
      </x:c>
      <x:c r="K54" s="13" t="n">
        <x:f t="shared" si="5">ROUND(SUM(J54,F54:G54),2)</x:f>
        <x:v>30.86</x:v>
      </x:c>
      <x:c r="L54" s="13" t="n">
        <x:f t="shared" si="6">ROUND(SUM(C54:D54),2)</x:f>
        <x:v>0</x:v>
      </x:c>
      <x:c r="M54" s="13"/>
      <x:c r="N54" s="13"/>
      <x:c r="O54" s="13"/>
      <x:c r="P54" s="13"/>
      <x:c r="Q54" s="13"/>
      <x:c r="R54" s="13"/>
    </x:row>
    <x:row r="55" ht="2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5" customHeight="1">
      <x:c r="A57" s="1" t="str">
        <x:v>Rates: original user purchase example. Current refund choices: source reviewed 2026-10-27.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5" customHeight="1">
      <x:c r="A58" s="1" t="str">
        <x:v>Backend: web-app/apps/financials/services/invoice/customer_return_amounts.py and payments/refunders/base.py.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5" customHeight="1">
      <x:c r="A59" s="1" t="str">
        <x:v>Flat shipping belongs to group 1 here. Compare the original purchase group and amounts before using a partial return.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5" customHeight="1">
      <x:c r="A60" s="1" t="str">
        <x:v>Backend revision: ac8a60123129fca71316321eb6a75345fcca51c3. Destination choices follow the Customer refunds form.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 ht="2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 ht="2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 ht="2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 ht="2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 ht="2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 ht="2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 ht="2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 ht="2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 ht="2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 ht="2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 ht="2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 ht="2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 ht="2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 ht="2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 ht="2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 ht="2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 ht="2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 ht="2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 ht="2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 ht="2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 ht="2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 ht="2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 ht="2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 ht="2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 ht="2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 ht="2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 ht="2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 ht="2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 ht="2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 ht="2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 ht="2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 ht="2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pageMargins left="0.7" right="0.7" top="0.75" bottom="0.75" header="0.3" footer="0.3"/>
</x:worksheet>
</file>